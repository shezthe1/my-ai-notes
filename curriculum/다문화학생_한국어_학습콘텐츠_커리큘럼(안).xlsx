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현황 요약" sheetId="2" state="visible" r:id="rId4"/>
    <sheet name="커리큘럼" sheetId="3" state="visible" r:id="rId5"/>
    <sheet name="진단 문항" sheetId="4" state="visible" r:id="rId6"/>
    <sheet name="원고 확인 사항" sheetId="5" state="visible" r:id="rId7"/>
    <sheet name="제작 체크리스트" sheetId="6" state="visible" r:id="rId8"/>
  </sheets>
  <definedNames>
    <definedName function="false" hidden="false" localSheetId="4" name="_xlnm.Print_Titles" vbProcedure="false">'원고 확인 사항'!$1:$1</definedName>
    <definedName function="false" hidden="false" localSheetId="5" name="_xlnm.Print_Titles" vbProcedure="false">'제작 체크리스트'!$1:$1</definedName>
    <definedName function="false" hidden="false" localSheetId="3" name="_xlnm.Print_Titles" vbProcedure="false">'진단 문항'!$1:$1</definedName>
    <definedName function="false" hidden="true" localSheetId="3" name="_xlnm._FilterDatabase" vbProcedure="false">'진단 문항'!$A$1:$K$515</definedName>
    <definedName function="false" hidden="false" localSheetId="2" name="_xlnm.Print_Titles" vbProcedure="false">커리큘럼!$1:$1</definedName>
    <definedName function="false" hidden="true" localSheetId="2" name="_xlnm._FilterDatabase" vbProcedure="false">커리큘럼!$A$1:$T$205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<sst xmlns="http://schemas.openxmlformats.org/spreadsheetml/2006/main" count="7228" uniqueCount="3288">
  <si>
    <r>
      <rPr>
        <b val="true"/>
        <sz val="16"/>
        <color rgb="FF1F4E78"/>
        <rFont val="WenQuanYi Zen Hei"/>
        <family val="2"/>
      </rPr>
      <t xml:space="preserve">다문화학생 한국어 학습 콘텐츠 커리큘럼</t>
    </r>
    <r>
      <rPr>
        <b val="true"/>
        <sz val="16"/>
        <color rgb="FF1F4E78"/>
        <rFont val="맑은 고딕"/>
        <family val="0"/>
        <charset val="1"/>
      </rPr>
      <t xml:space="preserve">(</t>
    </r>
    <r>
      <rPr>
        <b val="true"/>
        <sz val="16"/>
        <color rgb="FF1F4E78"/>
        <rFont val="WenQuanYi Zen Hei"/>
        <family val="2"/>
      </rPr>
      <t xml:space="preserve">안</t>
    </r>
    <r>
      <rPr>
        <b val="true"/>
        <sz val="16"/>
        <color rgb="FF1F4E78"/>
        <rFont val="맑은 고딕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</si>
  <si>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한국어능력 초기진단 체크리스트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초</t>
    </r>
    <r>
      <rPr>
        <sz val="10"/>
        <color rgb="FF595959"/>
        <rFont val="맑은 고딕"/>
        <family val="0"/>
        <charset val="1"/>
      </rPr>
      <t xml:space="preserve">1~2·</t>
    </r>
    <r>
      <rPr>
        <sz val="10"/>
        <color rgb="FF595959"/>
        <rFont val="WenQuanYi Zen Hei"/>
        <family val="2"/>
      </rPr>
      <t xml:space="preserve">초</t>
    </r>
    <r>
      <rPr>
        <sz val="10"/>
        <color rgb="FF595959"/>
        <rFont val="맑은 고딕"/>
        <family val="0"/>
        <charset val="1"/>
      </rPr>
      <t xml:space="preserve">3~4·</t>
    </r>
    <r>
      <rPr>
        <sz val="10"/>
        <color rgb="FF595959"/>
        <rFont val="WenQuanYi Zen Hei"/>
        <family val="2"/>
      </rPr>
      <t xml:space="preserve">초</t>
    </r>
    <r>
      <rPr>
        <sz val="10"/>
        <color rgb="FF595959"/>
        <rFont val="맑은 고딕"/>
        <family val="0"/>
        <charset val="1"/>
      </rPr>
      <t xml:space="preserve">5~6, </t>
    </r>
    <r>
      <rPr>
        <sz val="10"/>
        <color rgb="FF595959"/>
        <rFont val="WenQuanYi Zen Hei"/>
        <family val="2"/>
      </rPr>
      <t xml:space="preserve">듣기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말하기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읽기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쓰기</t>
    </r>
    <r>
      <rPr>
        <sz val="10"/>
        <color rgb="FF595959"/>
        <rFont val="맑은 고딕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의 성취수준을 </t>
    </r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차시 </t>
    </r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성취수준으로 옮긴 제작용 커리큘럼입니다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</si>
  <si>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시트</t>
  </si>
  <si>
    <t xml:space="preserve">내용</t>
  </si>
  <si>
    <t xml:space="preserve">현황 요약</t>
  </si>
  <si>
    <r>
      <rPr>
        <sz val="10"/>
        <color rgb="FF000000"/>
        <rFont val="WenQuanYi Zen Hei"/>
        <family val="2"/>
      </rPr>
      <t xml:space="preserve">학년군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영역별 차시 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진단 문항 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제작 상태 집계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자동 계산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</si>
  <si>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커리큘럼</t>
  </si>
  <si>
    <r>
      <rPr>
        <sz val="10"/>
        <color rgb="FF000000"/>
        <rFont val="맑은 고딕"/>
        <family val="0"/>
        <charset val="1"/>
      </rPr>
      <t xml:space="preserve">204</t>
    </r>
    <r>
      <rPr>
        <sz val="10"/>
        <color rgb="FF000000"/>
        <rFont val="WenQuanYi Zen Hei"/>
        <family val="2"/>
      </rPr>
      <t xml:space="preserve">차시 전체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차시명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학습 목표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활동 구성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활동 유형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주제 연계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기술 고려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우선순위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제작 상태</t>
    </r>
  </si>
  <si>
    <t xml:space="preserve">진단 문항</t>
  </si>
  <si>
    <r>
      <rPr>
        <sz val="10"/>
        <color rgb="FF000000"/>
        <rFont val="WenQuanYi Zen Hei"/>
        <family val="2"/>
      </rPr>
      <t xml:space="preserve">원고의 진단 문항 </t>
    </r>
    <r>
      <rPr>
        <sz val="10"/>
        <color rgb="FF000000"/>
        <rFont val="맑은 고딕"/>
        <family val="0"/>
        <charset val="1"/>
      </rPr>
      <t xml:space="preserve">514</t>
    </r>
    <r>
      <rPr>
        <sz val="10"/>
        <color rgb="FF000000"/>
        <rFont val="WenQuanYi Zen Hei"/>
        <family val="2"/>
      </rPr>
      <t xml:space="preserve">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코드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체크리스트 문항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교사 발문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절차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학생 수행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</si>
  <si>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원고 확인 사항</t>
  </si>
  <si>
    <r>
      <rPr>
        <sz val="10"/>
        <color rgb="FF000000"/>
        <rFont val="WenQuanYi Zen Hei"/>
        <family val="2"/>
      </rPr>
      <t xml:space="preserve">원고에서 발견한 번호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표기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맞춤법 불일치 목록</t>
    </r>
  </si>
  <si>
    <t xml:space="preserve">제작 체크리스트</t>
  </si>
  <si>
    <r>
      <rPr>
        <sz val="10"/>
        <color rgb="FF000000"/>
        <rFont val="WenQuanYi Zen Hei"/>
        <family val="2"/>
      </rPr>
      <t xml:space="preserve">듣기</t>
    </r>
    <r>
      <rPr>
        <sz val="10"/>
        <color rgb="FF000000"/>
        <rFont val="맑은 고딕"/>
        <family val="0"/>
        <charset val="1"/>
      </rPr>
      <t xml:space="preserve">06 </t>
    </r>
    <r>
      <rPr>
        <sz val="10"/>
        <color rgb="FF000000"/>
        <rFont val="WenQuanYi Zen Hei"/>
        <family val="2"/>
      </rPr>
      <t xml:space="preserve">제작 경험을 바탕으로 정리한 공통 준비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고려 사항</t>
    </r>
  </si>
  <si>
    <t xml:space="preserve">구성 원칙</t>
  </si>
  <si>
    <r>
      <rPr>
        <sz val="10"/>
        <rFont val="맑은 고딕"/>
        <family val="0"/>
        <charset val="1"/>
      </rPr>
      <t xml:space="preserve">• 1</t>
    </r>
    <r>
      <rPr>
        <sz val="10"/>
        <rFont val="WenQuanYi Zen Hei"/>
        <family val="2"/>
      </rPr>
      <t xml:space="preserve">차시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성취수준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학년군마다 듣기 </t>
    </r>
    <r>
      <rPr>
        <sz val="10"/>
        <rFont val="맑은 고딕"/>
        <family val="0"/>
        <charset val="1"/>
      </rPr>
      <t xml:space="preserve">16·</t>
    </r>
    <r>
      <rPr>
        <sz val="10"/>
        <rFont val="WenQuanYi Zen Hei"/>
        <family val="2"/>
      </rPr>
      <t xml:space="preserve">말하기 </t>
    </r>
    <r>
      <rPr>
        <sz val="10"/>
        <rFont val="맑은 고딕"/>
        <family val="0"/>
        <charset val="1"/>
      </rPr>
      <t xml:space="preserve">20·</t>
    </r>
    <r>
      <rPr>
        <sz val="10"/>
        <rFont val="WenQuanYi Zen Hei"/>
        <family val="2"/>
      </rPr>
      <t xml:space="preserve">읽기 </t>
    </r>
    <r>
      <rPr>
        <sz val="10"/>
        <rFont val="맑은 고딕"/>
        <family val="0"/>
        <charset val="1"/>
      </rPr>
      <t xml:space="preserve">16·</t>
    </r>
    <r>
      <rPr>
        <sz val="10"/>
        <rFont val="WenQuanYi Zen Hei"/>
        <family val="2"/>
      </rPr>
      <t xml:space="preserve">쓰기 </t>
    </r>
    <r>
      <rPr>
        <sz val="10"/>
        <rFont val="맑은 고딕"/>
        <family val="0"/>
        <charset val="1"/>
      </rPr>
      <t xml:space="preserve">16 = 68</t>
    </r>
    <r>
      <rPr>
        <sz val="10"/>
        <rFont val="WenQuanYi Zen Hei"/>
        <family val="2"/>
      </rPr>
      <t xml:space="preserve">차시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전체 </t>
    </r>
    <r>
      <rPr>
        <sz val="10"/>
        <rFont val="맑은 고딕"/>
        <family val="0"/>
        <charset val="1"/>
      </rPr>
      <t xml:space="preserve">204</t>
    </r>
    <r>
      <rPr>
        <sz val="10"/>
        <rFont val="WenQuanYi Zen Hei"/>
        <family val="2"/>
      </rPr>
      <t xml:space="preserve">차시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</si>
  <si>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차시 번호는 영역 안에서 수준→성취수준 순서로 매김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수준 </t>
    </r>
    <r>
      <rPr>
        <sz val="10"/>
        <rFont val="맑은 고딕"/>
        <family val="0"/>
        <charset val="1"/>
      </rPr>
      <t xml:space="preserve">01~04, 2</t>
    </r>
    <r>
      <rPr>
        <sz val="10"/>
        <rFont val="WenQuanYi Zen Hei"/>
        <family val="2"/>
      </rPr>
      <t xml:space="preserve">수준 </t>
    </r>
    <r>
      <rPr>
        <sz val="10"/>
        <rFont val="맑은 고딕"/>
        <family val="0"/>
        <charset val="1"/>
      </rPr>
      <t xml:space="preserve">05~08 …, </t>
    </r>
    <r>
      <rPr>
        <sz val="10"/>
        <rFont val="WenQuanYi Zen Hei"/>
        <family val="2"/>
      </rPr>
      <t xml:space="preserve">말하기는 수준마다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차시 </t>
    </r>
    <r>
      <rPr>
        <sz val="10"/>
        <rFont val="맑은 고딕"/>
        <family val="0"/>
        <charset val="1"/>
      </rPr>
      <t xml:space="preserve">ID 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초</t>
    </r>
    <r>
      <rPr>
        <sz val="10"/>
        <rFont val="맑은 고딕"/>
        <family val="0"/>
        <charset val="1"/>
      </rPr>
      <t xml:space="preserve">1~2-</t>
    </r>
    <r>
      <rPr>
        <sz val="10"/>
        <rFont val="WenQuanYi Zen Hei"/>
        <family val="2"/>
      </rPr>
      <t xml:space="preserve">듣기</t>
    </r>
    <r>
      <rPr>
        <sz val="10"/>
        <rFont val="맑은 고딕"/>
        <family val="0"/>
        <charset val="1"/>
      </rPr>
      <t xml:space="preserve">-06.</t>
    </r>
  </si>
  <si>
    <r>
      <rPr>
        <sz val="10"/>
        <rFont val="WenQuanYi Zen Hei"/>
        <family val="2"/>
      </rPr>
      <t xml:space="preserve">• 활동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: ① </t>
    </r>
    <r>
      <rPr>
        <sz val="10"/>
        <rFont val="WenQuanYi Zen Hei"/>
        <family val="2"/>
      </rPr>
      <t xml:space="preserve">낱말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표현 익히기 → ② 기본 과제 → ③ 확장 과제 → ④ 진단 문항과 같은 형태로 확인</t>
    </r>
    <r>
      <rPr>
        <sz val="10"/>
        <rFont val="맑은 고딕"/>
        <family val="0"/>
        <charset val="1"/>
      </rPr>
      <t xml:space="preserve">. ④</t>
    </r>
    <r>
      <rPr>
        <sz val="10"/>
        <rFont val="WenQuanYi Zen Hei"/>
        <family val="2"/>
      </rPr>
      <t xml:space="preserve">를 마치면 해당 진단 문항으로 재진단 가능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</si>
  <si>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같은 학년군에서 주제가 같은 차시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준비물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이미지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어휘를 함께 씀</t>
    </r>
    <r>
      <rPr>
        <sz val="10"/>
        <rFont val="맑은 고딕"/>
        <family val="0"/>
        <charset val="1"/>
      </rPr>
      <t xml:space="preserve">. "</t>
    </r>
    <r>
      <rPr>
        <sz val="10"/>
        <rFont val="WenQuanYi Zen Hei"/>
        <family val="2"/>
      </rPr>
      <t xml:space="preserve">같은 주제 차시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열 참고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</si>
  <si>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차시명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학습 목표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활동 구성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활동 유형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우선순위는 제안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초안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성취수준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진단 문항은 원고 그대로입니다</t>
    </r>
    <r>
      <rPr>
        <sz val="10"/>
        <rFont val="맑은 고딕"/>
        <family val="0"/>
        <charset val="1"/>
      </rPr>
      <t xml:space="preserve">.</t>
    </r>
  </si>
  <si>
    <t xml:space="preserve">입력 방법</t>
  </si>
  <si>
    <r>
      <rPr>
        <sz val="10"/>
        <rFont val="WenQuanYi Zen Hei"/>
        <family val="2"/>
      </rPr>
      <t xml:space="preserve">• 노란 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커리큘럼 시트의 제작 상태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담당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 입력하세요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제작 상태는 목록에서 고릅니다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예정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제작중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검수중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완료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확인 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</si>
  <si>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현황 요약 시트는 입력한 상태를 자동으로 집계합니다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</si>
  <si>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예시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초</t>
    </r>
    <r>
      <rPr>
        <sz val="10"/>
        <rFont val="맑은 고딕"/>
        <family val="0"/>
        <charset val="1"/>
      </rPr>
      <t xml:space="preserve">3~4-</t>
    </r>
    <r>
      <rPr>
        <sz val="10"/>
        <rFont val="WenQuanYi Zen Hei"/>
        <family val="2"/>
      </rPr>
      <t xml:space="preserve">듣기</t>
    </r>
    <r>
      <rPr>
        <sz val="10"/>
        <rFont val="맑은 고딕"/>
        <family val="0"/>
        <charset val="1"/>
      </rPr>
      <t xml:space="preserve">-06 → </t>
    </r>
    <r>
      <rPr>
        <sz val="10"/>
        <rFont val="WenQuanYi Zen Hei"/>
        <family val="2"/>
      </rPr>
      <t xml:space="preserve">제작 상태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완료</t>
    </r>
    <r>
      <rPr>
        <sz val="10"/>
        <rFont val="맑은 고딕"/>
        <family val="0"/>
        <charset val="1"/>
      </rPr>
      <t xml:space="preserve">", </t>
    </r>
    <r>
      <rPr>
        <sz val="10"/>
        <rFont val="WenQuanYi Zen Hei"/>
        <family val="2"/>
      </rPr>
      <t xml:space="preserve">비고에 듣기</t>
    </r>
    <r>
      <rPr>
        <sz val="10"/>
        <rFont val="맑은 고딕"/>
        <family val="0"/>
        <charset val="1"/>
      </rPr>
      <t xml:space="preserve">06 </t>
    </r>
    <r>
      <rPr>
        <sz val="10"/>
        <rFont val="WenQuanYi Zen Hei"/>
        <family val="2"/>
      </rPr>
      <t xml:space="preserve">메모가 들어 있습니다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</si>
  <si>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2"/>
        <color rgb="FF1F4E78"/>
        <rFont val="WenQuanYi Zen Hei"/>
        <family val="2"/>
      </rPr>
      <t xml:space="preserve">수준 정의</t>
    </r>
    <r>
      <rPr>
        <b val="true"/>
        <sz val="12"/>
        <color rgb="FF1F4E78"/>
        <rFont val="맑은 고딕"/>
        <family val="0"/>
        <charset val="1"/>
      </rPr>
      <t xml:space="preserve">(</t>
    </r>
    <r>
      <rPr>
        <b val="true"/>
        <sz val="12"/>
        <color rgb="FF1F4E78"/>
        <rFont val="WenQuanYi Zen Hei"/>
        <family val="2"/>
      </rPr>
      <t xml:space="preserve">통합 성취수준</t>
    </r>
    <r>
      <rPr>
        <b val="true"/>
        <sz val="12"/>
        <color rgb="FF1F4E78"/>
        <rFont val="맑은 고딕"/>
        <family val="0"/>
        <charset val="1"/>
      </rPr>
      <t xml:space="preserve">, </t>
    </r>
    <r>
      <rPr>
        <b val="true"/>
        <sz val="12"/>
        <color rgb="FF1F4E78"/>
        <rFont val="WenQuanYi Zen Hei"/>
        <family val="2"/>
      </rPr>
      <t xml:space="preserve">원고 그대로</t>
    </r>
    <r>
      <rPr>
        <b val="true"/>
        <sz val="12"/>
        <color rgb="FF1F4E78"/>
        <rFont val="맑은 고딕"/>
        <family val="0"/>
        <charset val="1"/>
      </rPr>
      <t xml:space="preserve">)</t>
    </r>
  </si>
  <si>
    <t xml:space="preserve">학년군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</si>
  <si>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수준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</si>
  <si>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수준</t>
    </r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</si>
  <si>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수준</t>
    </r>
  </si>
  <si>
    <r>
      <rPr>
        <b val="true"/>
        <sz val="10"/>
        <color rgb="FFFFFFFF"/>
        <rFont val="맑은 고딕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수준</t>
    </r>
  </si>
  <si>
    <r>
      <rPr>
        <b val="true"/>
        <sz val="10"/>
        <rFont val="WenQuanYi Zen Hei"/>
        <family val="2"/>
      </rPr>
      <t xml:space="preserve">초</t>
    </r>
    <r>
      <rPr>
        <b val="true"/>
        <sz val="10"/>
        <rFont val="맑은 고딕"/>
        <family val="0"/>
        <charset val="1"/>
      </rPr>
      <t xml:space="preserve">1~2</t>
    </r>
  </si>
  <si>
    <r>
      <rPr>
        <sz val="10"/>
        <rFont val="WenQuanYi Zen Hei"/>
        <family val="2"/>
      </rPr>
      <t xml:space="preserve">한국어의 자모를 익히고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단어와 짧은 문장 수준에서 기초적인 의사소통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인사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</si>
  <si>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생활 속에 필요한 기본적인 내용을 짧은 문장으로 의사소통을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</si>
  <si>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일상에서 자신의 관심사에 대해 짧은 글과 말로 의사소통을 할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수업에 어느 정도 참여할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</si>
  <si>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일상에서 필요한 내용을 글과 말로 의사소통을 할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수업과 학교생활에 참여할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</si>
  <si>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초</t>
    </r>
    <r>
      <rPr>
        <b val="true"/>
        <sz val="10"/>
        <rFont val="맑은 고딕"/>
        <family val="0"/>
        <charset val="1"/>
      </rPr>
      <t xml:space="preserve">3~4</t>
    </r>
  </si>
  <si>
    <r>
      <rPr>
        <sz val="10"/>
        <rFont val="WenQuanYi Zen Hei"/>
        <family val="2"/>
      </rPr>
      <t xml:space="preserve">한글을 익히고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간단한 단어와 짧은 문장을 중심으로 기초적인 의사소통을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</si>
  <si>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일상과 학교생활에서 자주 사용하는 기본적인 내용을 문장으로 의사소통할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</si>
  <si>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친숙한 주제에 대한 주요 내용을 이해하고 문장으로 표현할 수 있으며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수업에 부분적으로 참여할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</si>
  <si>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일상과 수업에서 필요한 내용을 이해하고 의사소통을 할 수 있으며 수업과 학교생활에 참여할 수 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</si>
  <si>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초</t>
    </r>
    <r>
      <rPr>
        <b val="true"/>
        <sz val="10"/>
        <rFont val="맑은 고딕"/>
        <family val="0"/>
        <charset val="1"/>
      </rPr>
      <t xml:space="preserve">5~6</t>
    </r>
  </si>
  <si>
    <r>
      <rPr>
        <sz val="10"/>
        <rFont val="WenQuanYi Zen Hei"/>
        <family val="2"/>
      </rPr>
      <t xml:space="preserve">한글을 익히고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간단한 단어와 짧은 문장을 중심으로 기본적인 의사소통을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</si>
  <si>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일상과 학교생활에서 자주 사용하는 기본적인 내용을 파악하고 표현하며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의사소통을 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</si>
  <si>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친숙한 주제에 관한 주요 내용을 파악하고 표현할 수 있으며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수업에 참여할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</si>
  <si>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일상과 수업에서 필요한 내용을 파악하고 표현할 수 있으며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수업과 학교생활에 참여할 수 있다</t>
    </r>
    <r>
      <rPr>
        <sz val="10"/>
        <rFont val="맑은 고딕"/>
        <family val="0"/>
        <charset val="1"/>
      </rPr>
      <t xml:space="preserve">.</t>
    </r>
  </si>
  <si>
    <t xml:space="preserve">출처</t>
  </si>
  <si>
    <r>
      <rPr>
        <sz val="10"/>
        <rFont val="WenQuanYi Zen Hei"/>
        <family val="2"/>
      </rPr>
      <t xml:space="preserve">• 초</t>
    </r>
    <r>
      <rPr>
        <sz val="10"/>
        <rFont val="맑은 고딕"/>
        <family val="0"/>
        <charset val="1"/>
      </rPr>
      <t xml:space="preserve">1_2·</t>
    </r>
    <r>
      <rPr>
        <sz val="10"/>
        <rFont val="WenQuanYi Zen Hei"/>
        <family val="2"/>
      </rPr>
      <t xml:space="preserve">초</t>
    </r>
    <r>
      <rPr>
        <sz val="10"/>
        <rFont val="맑은 고딕"/>
        <family val="0"/>
        <charset val="1"/>
      </rPr>
      <t xml:space="preserve">3_4·</t>
    </r>
    <r>
      <rPr>
        <sz val="10"/>
        <rFont val="WenQuanYi Zen Hei"/>
        <family val="2"/>
      </rPr>
      <t xml:space="preserve">초</t>
    </r>
    <r>
      <rPr>
        <sz val="10"/>
        <rFont val="맑은 고딕"/>
        <family val="0"/>
        <charset val="1"/>
      </rPr>
      <t xml:space="preserve">5_6 </t>
    </r>
    <r>
      <rPr>
        <sz val="10"/>
        <rFont val="WenQuanYi Zen Hei"/>
        <family val="2"/>
      </rPr>
      <t xml:space="preserve">초기진단 체크리스트 진단도구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듣기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말하기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읽기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쓰기</t>
    </r>
    <r>
      <rPr>
        <sz val="10"/>
        <rFont val="맑은 고딕"/>
        <family val="0"/>
        <charset val="1"/>
      </rPr>
      <t xml:space="preserve">) PDF 12</t>
    </r>
    <r>
      <rPr>
        <sz val="10"/>
        <rFont val="WenQuanYi Zen Hei"/>
        <family val="2"/>
      </rPr>
      <t xml:space="preserve">종</t>
    </r>
  </si>
  <si>
    <r>
      <rPr>
        <sz val="10"/>
        <rFont val="맑은 고딕"/>
        <family val="0"/>
        <charset val="1"/>
      </rPr>
      <t xml:space="preserve">• ① (</t>
    </r>
    <r>
      <rPr>
        <sz val="10"/>
        <rFont val="WenQuanYi Zen Hei"/>
        <family val="2"/>
      </rPr>
      <t xml:space="preserve">초등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수준별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영역별 성취 수준</t>
    </r>
    <r>
      <rPr>
        <sz val="10"/>
        <rFont val="맑은 고딕"/>
        <family val="0"/>
        <charset val="1"/>
      </rPr>
      <t xml:space="preserve">.pdf / </t>
    </r>
    <r>
      <rPr>
        <sz val="10"/>
        <rFont val="WenQuanYi Zen Hei"/>
        <family val="2"/>
      </rPr>
      <t xml:space="preserve">초기진단 체크리스트 활용 안내문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교사용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일반용</t>
    </r>
    <r>
      <rPr>
        <sz val="10"/>
        <rFont val="맑은 고딕"/>
        <family val="0"/>
        <charset val="1"/>
      </rPr>
      <t xml:space="preserve">).pdf</t>
    </r>
  </si>
  <si>
    <r>
      <rPr>
        <sz val="10"/>
        <rFont val="WenQuanYi Zen Hei"/>
        <family val="2"/>
      </rPr>
      <t xml:space="preserve">• 듣기</t>
    </r>
    <r>
      <rPr>
        <sz val="10"/>
        <rFont val="맑은 고딕"/>
        <family val="0"/>
        <charset val="1"/>
      </rPr>
      <t xml:space="preserve">06 </t>
    </r>
    <r>
      <rPr>
        <sz val="10"/>
        <rFont val="WenQuanYi Zen Hei"/>
        <family val="2"/>
      </rPr>
      <t xml:space="preserve">제작 자료</t>
    </r>
    <r>
      <rPr>
        <sz val="10"/>
        <rFont val="맑은 고딕"/>
        <family val="0"/>
        <charset val="1"/>
      </rPr>
      <t xml:space="preserve">(claude_prompt.md, </t>
    </r>
    <r>
      <rPr>
        <sz val="10"/>
        <rFont val="WenQuanYi Zen Hei"/>
        <family val="2"/>
      </rPr>
      <t xml:space="preserve">참고 </t>
    </r>
    <r>
      <rPr>
        <sz val="10"/>
        <rFont val="맑은 고딕"/>
        <family val="0"/>
        <charset val="1"/>
      </rPr>
      <t xml:space="preserve">HTML). </t>
    </r>
    <r>
      <rPr>
        <sz val="10"/>
        <rFont val="WenQuanYi Zen Hei"/>
        <family val="2"/>
      </rPr>
      <t xml:space="preserve">진단 문항 텍스트는 </t>
    </r>
    <r>
      <rPr>
        <sz val="10"/>
        <rFont val="맑은 고딕"/>
        <family val="0"/>
        <charset val="1"/>
      </rPr>
      <t xml:space="preserve">PDF</t>
    </r>
    <r>
      <rPr>
        <sz val="10"/>
        <rFont val="WenQuanYi Zen Hei"/>
        <family val="2"/>
      </rPr>
      <t xml:space="preserve">에서 자동 추출했으므로 일부 줄바꿈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누락이 있을 수 있음</t>
    </r>
  </si>
  <si>
    <r>
      <rPr>
        <sz val="9"/>
        <color rgb="FF595959"/>
        <rFont val="WenQuanYi Zen Hei"/>
        <family val="2"/>
      </rPr>
      <t xml:space="preserve">커리큘럼 시트의 제작 상태를 바꾸면 자동으로 다시 계산됩니다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</si>
  <si>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영역</t>
  </si>
  <si>
    <t xml:space="preserve">차시 수</t>
  </si>
  <si>
    <t xml:space="preserve">진단 문항 수</t>
  </si>
  <si>
    <t xml:space="preserve">예정</t>
  </si>
  <si>
    <t xml:space="preserve">제작중</t>
  </si>
  <si>
    <t xml:space="preserve">검수중</t>
  </si>
  <si>
    <t xml:space="preserve">완료</t>
  </si>
  <si>
    <t xml:space="preserve">확인 필요</t>
  </si>
  <si>
    <t xml:space="preserve">완료율</t>
  </si>
  <si>
    <r>
      <rPr>
        <sz val="10"/>
        <rFont val="WenQuanYi Zen Hei"/>
        <family val="2"/>
      </rPr>
      <t xml:space="preserve">초</t>
    </r>
    <r>
      <rPr>
        <sz val="10"/>
        <rFont val="맑은 고딕"/>
        <family val="0"/>
        <charset val="1"/>
      </rPr>
      <t xml:space="preserve">1~2</t>
    </r>
  </si>
  <si>
    <t xml:space="preserve">듣기</t>
  </si>
  <si>
    <t xml:space="preserve">말하기</t>
  </si>
  <si>
    <t xml:space="preserve">읽기</t>
  </si>
  <si>
    <t xml:space="preserve">쓰기</t>
  </si>
  <si>
    <t xml:space="preserve">소계</t>
  </si>
  <si>
    <r>
      <rPr>
        <sz val="10"/>
        <rFont val="WenQuanYi Zen Hei"/>
        <family val="2"/>
      </rPr>
      <t xml:space="preserve">초</t>
    </r>
    <r>
      <rPr>
        <sz val="10"/>
        <rFont val="맑은 고딕"/>
        <family val="0"/>
        <charset val="1"/>
      </rPr>
      <t xml:space="preserve">3~4</t>
    </r>
  </si>
  <si>
    <r>
      <rPr>
        <sz val="10"/>
        <rFont val="WenQuanYi Zen Hei"/>
        <family val="2"/>
      </rPr>
      <t xml:space="preserve">초</t>
    </r>
    <r>
      <rPr>
        <sz val="10"/>
        <rFont val="맑은 고딕"/>
        <family val="0"/>
        <charset val="1"/>
      </rPr>
      <t xml:space="preserve">5~6</t>
    </r>
  </si>
  <si>
    <t xml:space="preserve">전체</t>
  </si>
  <si>
    <t xml:space="preserve">합계</t>
  </si>
  <si>
    <r>
      <rPr>
        <b val="true"/>
        <sz val="11"/>
        <color rgb="FF1F4E78"/>
        <rFont val="WenQuanYi Zen Hei"/>
        <family val="2"/>
      </rPr>
      <t xml:space="preserve">우선순위별 차시 수</t>
    </r>
    <r>
      <rPr>
        <b val="true"/>
        <sz val="11"/>
        <color rgb="FF1F4E78"/>
        <rFont val="맑은 고딕"/>
        <family val="0"/>
        <charset val="1"/>
      </rPr>
      <t xml:space="preserve">(</t>
    </r>
    <r>
      <rPr>
        <b val="true"/>
        <sz val="11"/>
        <color rgb="FF1F4E78"/>
        <rFont val="WenQuanYi Zen Hei"/>
        <family val="2"/>
      </rPr>
      <t xml:space="preserve">제안</t>
    </r>
    <r>
      <rPr>
        <b val="true"/>
        <sz val="11"/>
        <color rgb="FF1F4E78"/>
        <rFont val="맑은 고딕"/>
        <family val="0"/>
        <charset val="1"/>
      </rPr>
      <t xml:space="preserve">)</t>
    </r>
  </si>
  <si>
    <t xml:space="preserve">우선순위</t>
  </si>
  <si>
    <t xml:space="preserve">기준</t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</si>
  <si>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수준 듣기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말하기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</si>
  <si>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수준 읽기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쓰기</t>
    </r>
  </si>
  <si>
    <r>
      <rPr>
        <sz val="10"/>
        <rFont val="맑은 고딕"/>
        <family val="0"/>
        <charset val="1"/>
      </rPr>
      <t xml:space="preserve">3~4</t>
    </r>
    <r>
      <rPr>
        <sz val="10"/>
        <rFont val="WenQuanYi Zen Hei"/>
        <family val="2"/>
      </rPr>
      <t xml:space="preserve">수준 전 영역</t>
    </r>
  </si>
  <si>
    <r>
      <rPr>
        <b val="true"/>
        <sz val="10"/>
        <color rgb="FFFFFFFF"/>
        <rFont val="WenQuanYi Zen Hei"/>
        <family val="2"/>
      </rPr>
      <t xml:space="preserve">차시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</si>
  <si>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수준</t>
  </si>
  <si>
    <t xml:space="preserve">성취
수준</t>
  </si>
  <si>
    <t xml:space="preserve">차시</t>
  </si>
  <si>
    <r>
      <rPr>
        <b val="true"/>
        <sz val="10"/>
        <color rgb="FFFFFFFF"/>
        <rFont val="WenQuanYi Zen Hei"/>
        <family val="2"/>
      </rPr>
      <t xml:space="preserve">차시명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</si>
  <si>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학습 목표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</si>
  <si>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성취수준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</si>
  <si>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연계 진단 문항</t>
  </si>
  <si>
    <t xml:space="preserve">진단 문항 요지</t>
  </si>
  <si>
    <r>
      <rPr>
        <b val="true"/>
        <sz val="10"/>
        <color rgb="FFFFFFFF"/>
        <rFont val="WenQuanYi Zen Hei"/>
        <family val="2"/>
      </rPr>
      <t xml:space="preserve">활동 구성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</si>
  <si>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주요 활동 유형</t>
  </si>
  <si>
    <t xml:space="preserve">주제</t>
  </si>
  <si>
    <t xml:space="preserve">같은 주제 차시</t>
  </si>
  <si>
    <t xml:space="preserve">기술 고려</t>
  </si>
  <si>
    <t xml:space="preserve">우선
순위</t>
  </si>
  <si>
    <t xml:space="preserve">제작 상태</t>
  </si>
  <si>
    <t xml:space="preserve">담당</t>
  </si>
  <si>
    <t xml:space="preserve">비고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</si>
  <si>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</si>
  <si>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</t>
    </r>
  </si>
  <si>
    <t xml:space="preserve">물건 이름을 듣고 찾아요</t>
  </si>
  <si>
    <r>
      <rPr>
        <sz val="9"/>
        <rFont val="WenQuanYi Zen Hei"/>
        <family val="2"/>
      </rPr>
      <t xml:space="preserve">짧고 쉬운 단어를 듣고 대상을 찾을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</si>
  <si>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짧고 쉬운 단어를 듣고 대상을 찾을 수 있다</t>
    </r>
    <r>
      <rPr>
        <sz val="9"/>
        <rFont val="맑은 고딕"/>
        <family val="0"/>
        <charset val="1"/>
      </rPr>
      <t xml:space="preserve">.</t>
    </r>
  </si>
  <si>
    <t xml:space="preserve">L-1-1-1, L-1-1-2, L-1-1-3</t>
  </si>
  <si>
    <r>
      <rPr>
        <sz val="9"/>
        <rFont val="맑은 고딕"/>
        <family val="0"/>
        <charset val="1"/>
      </rPr>
      <t xml:space="preserve">L-1-1-1 </t>
    </r>
    <r>
      <rPr>
        <sz val="9"/>
        <rFont val="WenQuanYi Zen Hei"/>
        <family val="2"/>
      </rPr>
      <t xml:space="preserve">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공책 등의 학용품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
L-1-1-2 </t>
    </r>
    <r>
      <rPr>
        <sz val="9"/>
        <rFont val="WenQuanYi Zen Hei"/>
        <family val="2"/>
      </rPr>
      <t xml:space="preserve">음식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
L-1-1-3 </t>
    </r>
    <r>
      <rPr>
        <sz val="9"/>
        <rFont val="WenQuanYi Zen Hei"/>
        <family val="2"/>
      </rPr>
      <t xml:space="preserve">생활 용품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</si>
  <si>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
② 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공책 등의 학용품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음식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생활 용품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</si>
  <si>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</t>
    </r>
  </si>
  <si>
    <t xml:space="preserve">교실 물건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</si>
  <si>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-04</t>
    </r>
  </si>
  <si>
    <r>
      <rPr>
        <sz val="9"/>
        <rFont val="WenQuanYi Zen Hei"/>
        <family val="2"/>
      </rPr>
      <t xml:space="preserve">음성 필요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 파일 권장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</si>
  <si>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-02</t>
    </r>
  </si>
  <si>
    <t xml:space="preserve">만나고 헤어질 때 인사해요</t>
  </si>
  <si>
    <r>
      <rPr>
        <sz val="9"/>
        <rFont val="WenQuanYi Zen Hei"/>
        <family val="2"/>
      </rPr>
      <t xml:space="preserve">간단한 인사말을 듣고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</si>
  <si>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간단한 인사말을 듣고 이해할 수 있다</t>
    </r>
    <r>
      <rPr>
        <sz val="9"/>
        <rFont val="맑은 고딕"/>
        <family val="0"/>
        <charset val="1"/>
      </rPr>
      <t xml:space="preserve">.</t>
    </r>
  </si>
  <si>
    <t xml:space="preserve">L-1-2-1, L-1-2-2</t>
  </si>
  <si>
    <r>
      <rPr>
        <sz val="9"/>
        <rFont val="맑은 고딕"/>
        <family val="0"/>
        <charset val="1"/>
      </rPr>
      <t xml:space="preserve">L-1-2-1 </t>
    </r>
    <r>
      <rPr>
        <sz val="9"/>
        <rFont val="WenQuanYi Zen Hei"/>
        <family val="2"/>
      </rPr>
      <t xml:space="preserve">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안녕히 계세요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답한다</t>
    </r>
    <r>
      <rPr>
        <sz val="9"/>
        <rFont val="맑은 고딕"/>
        <family val="0"/>
        <charset val="1"/>
      </rPr>
      <t xml:space="preserve">.
L-1-2-2 </t>
    </r>
    <r>
      <rPr>
        <sz val="9"/>
        <rFont val="WenQuanYi Zen Hei"/>
        <family val="2"/>
      </rPr>
      <t xml:space="preserve">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안녕히 가세요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표정이나 몸짓으로 반응한다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</si>
  <si>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안녕히 가세요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봐요
② 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안녕히 계세요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안녕히 가세요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표정이나 몸짓으로 반응한다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L-1-2-1·L-1-2-2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</si>
  <si>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t xml:space="preserve">인사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</si>
  <si>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</si>
  <si>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-03</t>
    </r>
  </si>
  <si>
    <t xml:space="preserve">선생님 말을 듣고 움직여요</t>
  </si>
  <si>
    <r>
      <rPr>
        <sz val="9"/>
        <rFont val="WenQuanYi Zen Hei"/>
        <family val="2"/>
      </rPr>
      <t xml:space="preserve">교사의 간단한 지시를 듣고 따를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</si>
  <si>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교사의 간단한 지시를 듣고 따를 수 있다</t>
    </r>
    <r>
      <rPr>
        <sz val="9"/>
        <rFont val="맑은 고딕"/>
        <family val="0"/>
        <charset val="1"/>
      </rPr>
      <t xml:space="preserve">.</t>
    </r>
  </si>
  <si>
    <t xml:space="preserve">L-1-3-1, L-1-3-2, L-1-3-3</t>
  </si>
  <si>
    <r>
      <rPr>
        <sz val="9"/>
        <rFont val="맑은 고딕"/>
        <family val="0"/>
        <charset val="1"/>
      </rPr>
      <t xml:space="preserve">L-1-3-1 </t>
    </r>
    <r>
      <rPr>
        <sz val="9"/>
        <rFont val="WenQuanYi Zen Hei"/>
        <family val="2"/>
      </rPr>
      <t xml:space="preserve">교사의 행동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일어나세요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앉으세요</t>
    </r>
    <r>
      <rPr>
        <sz val="9"/>
        <rFont val="맑은 고딕"/>
        <family val="0"/>
        <charset val="1"/>
      </rPr>
      <t xml:space="preserve">.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
L-1-3-2 </t>
    </r>
    <r>
      <rPr>
        <sz val="9"/>
        <rFont val="WenQuanYi Zen Hei"/>
        <family val="2"/>
      </rPr>
      <t xml:space="preserve">교사의 방향을 포함한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오른쪽으로 가세요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교실로 들어가세요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
L-1-3-3 </t>
    </r>
    <r>
      <rPr>
        <sz val="9"/>
        <rFont val="WenQuanYi Zen Hei"/>
        <family val="2"/>
      </rPr>
      <t xml:space="preserve">목적어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부사어를 포함한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책을 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이름을 쓰세요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자리에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</si>
  <si>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일어나세요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앉으세요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오른쪽으로 가세요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교실로 들어가세요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책을 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이름을 쓰세요
② 교사의 행동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일어나세요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앉으세요</t>
    </r>
    <r>
      <rPr>
        <sz val="9"/>
        <rFont val="맑은 고딕"/>
        <family val="0"/>
        <charset val="1"/>
      </rPr>
      <t xml:space="preserve">.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교사의 방향을 포함한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오른쪽으로 가세요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교실로 들어가세요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목적어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부사어를 포함한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책을 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이름을 쓰세요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자리에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수…</t>
    </r>
  </si>
  <si>
    <r>
      <rPr>
        <sz val="9"/>
        <rFont val="WenQuanYi Zen Hei"/>
        <family val="2"/>
      </rPr>
      <t xml:space="preserve">들은 대로 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고르기</t>
    </r>
    <r>
      <rPr>
        <sz val="9"/>
        <rFont val="맑은 고딕"/>
        <family val="0"/>
        <charset val="1"/>
      </rPr>
      <t xml:space="preserve">)</t>
    </r>
  </si>
  <si>
    <t xml:space="preserve">교실 지시</t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</si>
  <si>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</si>
  <si>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</t>
    </r>
  </si>
  <si>
    <t xml:space="preserve">소리를 듣고 자음과 모음을 찾아요</t>
  </si>
  <si>
    <r>
      <rPr>
        <sz val="9"/>
        <rFont val="WenQuanYi Zen Hei"/>
        <family val="2"/>
      </rPr>
      <t xml:space="preserve">자음과 모음을 듣고 식별할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</si>
  <si>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자음과 모음을 듣고 식별할 수 있다</t>
    </r>
    <r>
      <rPr>
        <sz val="9"/>
        <rFont val="맑은 고딕"/>
        <family val="0"/>
        <charset val="1"/>
      </rPr>
      <t xml:space="preserve">.</t>
    </r>
  </si>
  <si>
    <t xml:space="preserve">L-1-4-1, L-1-4-2</t>
  </si>
  <si>
    <r>
      <rPr>
        <sz val="9"/>
        <rFont val="맑은 고딕"/>
        <family val="0"/>
        <charset val="1"/>
      </rPr>
      <t xml:space="preserve">L-1-4-1 </t>
    </r>
    <r>
      <rPr>
        <sz val="9"/>
        <rFont val="WenQuanYi Zen Hei"/>
        <family val="2"/>
      </rPr>
      <t xml:space="preserve">모음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모음을 고른다</t>
    </r>
    <r>
      <rPr>
        <sz val="9"/>
        <rFont val="맑은 고딕"/>
        <family val="0"/>
        <charset val="1"/>
      </rPr>
      <t xml:space="preserve">.
L-1-4-2 </t>
    </r>
    <r>
      <rPr>
        <sz val="9"/>
        <rFont val="WenQuanYi Zen Hei"/>
        <family val="2"/>
      </rPr>
      <t xml:space="preserve">자음의 음가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드</t>
    </r>
    <r>
      <rPr>
        <sz val="9"/>
        <rFont val="맑은 고딕"/>
        <family val="0"/>
        <charset val="1"/>
      </rPr>
      <t xml:space="preserve">,</t>
    </r>
    <r>
      <rPr>
        <sz val="9"/>
        <rFont val="WenQuanYi Zen Hei"/>
        <family val="2"/>
      </rPr>
      <t xml:space="preserve">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자음을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</si>
  <si>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르
② 모음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모음을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자음의 음가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드</t>
    </r>
    <r>
      <rPr>
        <sz val="9"/>
        <rFont val="맑은 고딕"/>
        <family val="0"/>
        <charset val="1"/>
      </rPr>
      <t xml:space="preserve">,</t>
    </r>
    <r>
      <rPr>
        <sz val="9"/>
        <rFont val="WenQuanYi Zen Hei"/>
        <family val="2"/>
      </rPr>
      <t xml:space="preserve">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자음을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L-1-4-1·L-1-4-2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</si>
  <si>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t xml:space="preserve">한글 자모</t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</si>
  <si>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</si>
  <si>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-05</t>
    </r>
  </si>
  <si>
    <t xml:space="preserve">친구의 부탁을 듣고 도와줘요</t>
  </si>
  <si>
    <r>
      <rPr>
        <sz val="9"/>
        <rFont val="WenQuanYi Zen Hei"/>
        <family val="2"/>
      </rPr>
      <t xml:space="preserve">교실에서 자주 사용하는 기초적인 대화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</si>
  <si>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교실에서 자주 사용하는 기초적인 대화 내용을 이해할 수 있다</t>
    </r>
    <r>
      <rPr>
        <sz val="9"/>
        <rFont val="맑은 고딕"/>
        <family val="0"/>
        <charset val="1"/>
      </rPr>
      <t xml:space="preserve">.</t>
    </r>
  </si>
  <si>
    <t xml:space="preserve">L-2-1-1, L-2-1-2, L-2-1-3</t>
  </si>
  <si>
    <r>
      <rPr>
        <sz val="9"/>
        <rFont val="맑은 고딕"/>
        <family val="0"/>
        <charset val="1"/>
      </rPr>
      <t xml:space="preserve">L-2-1-1 </t>
    </r>
    <r>
      <rPr>
        <sz val="9"/>
        <rFont val="WenQuanYi Zen Hei"/>
        <family val="2"/>
      </rPr>
      <t xml:space="preserve">도움을 요청하는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 주세요</t>
    </r>
    <r>
      <rPr>
        <sz val="9"/>
        <rFont val="맑은 고딕"/>
        <family val="0"/>
        <charset val="1"/>
      </rPr>
      <t xml:space="preserve">./ </t>
    </r>
    <r>
      <rPr>
        <sz val="9"/>
        <rFont val="WenQuanYi Zen Hei"/>
        <family val="2"/>
      </rPr>
      <t xml:space="preserve">여기 있어요</t>
    </r>
    <r>
      <rPr>
        <sz val="9"/>
        <rFont val="맑은 고딕"/>
        <family val="0"/>
        <charset val="1"/>
      </rPr>
      <t xml:space="preserve">.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지금 어떤 도움이 필요하니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적절한 답을 한다</t>
    </r>
    <r>
      <rPr>
        <sz val="9"/>
        <rFont val="맑은 고딕"/>
        <family val="0"/>
        <charset val="1"/>
      </rPr>
      <t xml:space="preserve">.
L-2-1-2 </t>
    </r>
    <r>
      <rPr>
        <sz val="9"/>
        <rFont val="WenQuanYi Zen Hei"/>
        <family val="2"/>
      </rPr>
      <t xml:space="preserve">정보를 묻는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몇 학년 몇 반이에요</t>
    </r>
    <r>
      <rPr>
        <sz val="9"/>
        <rFont val="맑은 고딕"/>
        <family val="0"/>
        <charset val="1"/>
      </rPr>
      <t xml:space="preserve">? /1</t>
    </r>
    <r>
      <rPr>
        <sz val="9"/>
        <rFont val="WenQuanYi Zen Hei"/>
        <family val="2"/>
      </rPr>
      <t xml:space="preserve">학년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반이에요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안내된 정보를 고른다</t>
    </r>
    <r>
      <rPr>
        <sz val="9"/>
        <rFont val="맑은 고딕"/>
        <family val="0"/>
        <charset val="1"/>
      </rPr>
      <t xml:space="preserve">.
L-2-1-3 </t>
    </r>
    <r>
      <rPr>
        <sz val="9"/>
        <rFont val="WenQuanYi Zen Hei"/>
        <family val="2"/>
      </rPr>
      <t xml:space="preserve">감정을 나타내는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기분이 어때요</t>
    </r>
    <r>
      <rPr>
        <sz val="9"/>
        <rFont val="맑은 고딕"/>
        <family val="0"/>
        <charset val="1"/>
      </rPr>
      <t xml:space="preserve">? /</t>
    </r>
    <r>
      <rPr>
        <sz val="9"/>
        <rFont val="WenQuanYi Zen Hei"/>
        <family val="2"/>
      </rPr>
      <t xml:space="preserve">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감정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</si>
  <si>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가위 주세요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여기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지금 어떤 도움이 필요하니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몇 학년 몇 반이에요</t>
    </r>
    <r>
      <rPr>
        <sz val="9"/>
        <rFont val="맑은 고딕"/>
        <family val="0"/>
        <charset val="1"/>
      </rPr>
      <t xml:space="preserve">?, 1</t>
    </r>
    <r>
      <rPr>
        <sz val="9"/>
        <rFont val="WenQuanYi Zen Hei"/>
        <family val="2"/>
      </rPr>
      <t xml:space="preserve">학년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반이에요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기분이 어때요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도움을 요청하는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 주세요</t>
    </r>
    <r>
      <rPr>
        <sz val="9"/>
        <rFont val="맑은 고딕"/>
        <family val="0"/>
        <charset val="1"/>
      </rPr>
      <t xml:space="preserve">./ </t>
    </r>
    <r>
      <rPr>
        <sz val="9"/>
        <rFont val="WenQuanYi Zen Hei"/>
        <family val="2"/>
      </rPr>
      <t xml:space="preserve">여기 있어요</t>
    </r>
    <r>
      <rPr>
        <sz val="9"/>
        <rFont val="맑은 고딕"/>
        <family val="0"/>
        <charset val="1"/>
      </rPr>
      <t xml:space="preserve">.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지금 어떤 도움이 필요하니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적절한 답을…
③ 정보를 묻는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몇 학년 몇 반이에요</t>
    </r>
    <r>
      <rPr>
        <sz val="9"/>
        <rFont val="맑은 고딕"/>
        <family val="0"/>
        <charset val="1"/>
      </rPr>
      <t xml:space="preserve">? /1</t>
    </r>
    <r>
      <rPr>
        <sz val="9"/>
        <rFont val="WenQuanYi Zen Hei"/>
        <family val="2"/>
      </rPr>
      <t xml:space="preserve">학년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반이에요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안내된 정보를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감정을 나타내는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기분이 어때요</t>
    </r>
    <r>
      <rPr>
        <sz val="9"/>
        <rFont val="맑은 고딕"/>
        <family val="0"/>
        <charset val="1"/>
      </rPr>
      <t xml:space="preserve">? /</t>
    </r>
    <r>
      <rPr>
        <sz val="9"/>
        <rFont val="WenQuanYi Zen Hei"/>
        <family val="2"/>
      </rPr>
      <t xml:space="preserve">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감정 그림을 고른다</t>
    </r>
    <r>
      <rPr>
        <sz val="9"/>
        <rFont val="맑은 고딕"/>
        <family val="0"/>
        <charset val="1"/>
      </rPr>
      <t xml:space="preserve">.</t>
    </r>
  </si>
  <si>
    <t xml:space="preserve">교실 대화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</si>
  <si>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-06</t>
    </r>
  </si>
  <si>
    <r>
      <rPr>
        <sz val="9"/>
        <rFont val="WenQuanYi Zen Hei"/>
        <family val="2"/>
      </rPr>
      <t xml:space="preserve">음성 필요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 파일 권장</t>
    </r>
    <r>
      <rPr>
        <sz val="9"/>
        <rFont val="맑은 고딕"/>
        <family val="0"/>
        <charset val="1"/>
      </rPr>
      <t xml:space="preserve">) / 2</t>
    </r>
    <r>
      <rPr>
        <sz val="9"/>
        <rFont val="WenQuanYi Zen Hei"/>
        <family val="2"/>
      </rPr>
      <t xml:space="preserve">인 이상 화자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숫자 읽기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10</t>
    </r>
    <r>
      <rPr>
        <sz val="9"/>
        <rFont val="WenQuanYi Zen Hei"/>
        <family val="2"/>
      </rPr>
      <t xml:space="preserve">쪽→십 쪽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</si>
  <si>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-06</t>
    </r>
  </si>
  <si>
    <t xml:space="preserve">선생님의 안내를 듣고 준비해요</t>
  </si>
  <si>
    <r>
      <rPr>
        <sz val="9"/>
        <rFont val="WenQuanYi Zen Hei"/>
        <family val="2"/>
      </rPr>
      <t xml:space="preserve">수업에서 자주 쓰는 간단한 문장을 듣고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</si>
  <si>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수업에서 자주 쓰는 간단한 문장을 듣고 이해할 수 있다</t>
    </r>
    <r>
      <rPr>
        <sz val="9"/>
        <rFont val="맑은 고딕"/>
        <family val="0"/>
        <charset val="1"/>
      </rPr>
      <t xml:space="preserve">.</t>
    </r>
  </si>
  <si>
    <t xml:space="preserve">L-2-2-1</t>
  </si>
  <si>
    <r>
      <rPr>
        <sz val="9"/>
        <rFont val="맑은 고딕"/>
        <family val="0"/>
        <charset val="1"/>
      </rPr>
      <t xml:space="preserve">L-2-2-1 </t>
    </r>
    <r>
      <rPr>
        <sz val="9"/>
        <rFont val="WenQuanYi Zen Hei"/>
        <family val="2"/>
      </rPr>
      <t xml:space="preserve">교사의 수업 안내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짝과 말해 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줄을 그으세요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</si>
  <si>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짝과 말해 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줄을 그으세요
② 교사의 수업 안내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짝과 말해 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줄을 그으세요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L-2-2-1)</t>
    </r>
  </si>
  <si>
    <t xml:space="preserve">준비물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</si>
  <si>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-08</t>
    </r>
  </si>
  <si>
    <r>
      <rPr>
        <sz val="9"/>
        <rFont val="WenQuanYi Zen Hei"/>
        <family val="2"/>
      </rPr>
      <t xml:space="preserve">음성 필요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 파일 권장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숫자 읽기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10</t>
    </r>
    <r>
      <rPr>
        <sz val="9"/>
        <rFont val="WenQuanYi Zen Hei"/>
        <family val="2"/>
      </rPr>
      <t xml:space="preserve">쪽→십 쪽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</si>
  <si>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06</t>
    </r>
    <r>
      <rPr>
        <sz val="9"/>
        <rFont val="WenQuanYi Zen Hei"/>
        <family val="2"/>
      </rPr>
      <t xml:space="preserve">과 같은 성취수준</t>
    </r>
    <r>
      <rPr>
        <sz val="9"/>
        <rFont val="맑은 고딕"/>
        <family val="0"/>
        <charset val="1"/>
      </rPr>
      <t xml:space="preserve">(2</t>
    </r>
    <r>
      <rPr>
        <sz val="9"/>
        <rFont val="WenQuanYi Zen Hei"/>
        <family val="2"/>
      </rPr>
      <t xml:space="preserve">수준</t>
    </r>
    <r>
      <rPr>
        <sz val="9"/>
        <rFont val="맑은 고딕"/>
        <family val="0"/>
        <charset val="1"/>
      </rPr>
      <t xml:space="preserve">-2).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06</t>
    </r>
    <r>
      <rPr>
        <sz val="9"/>
        <rFont val="WenQuanYi Zen Hei"/>
        <family val="2"/>
      </rPr>
      <t xml:space="preserve">이 초</t>
    </r>
    <r>
      <rPr>
        <sz val="9"/>
        <rFont val="맑은 고딕"/>
        <family val="0"/>
        <charset val="1"/>
      </rPr>
      <t xml:space="preserve">3~4</t>
    </r>
    <r>
      <rPr>
        <sz val="9"/>
        <rFont val="WenQuanYi Zen Hei"/>
        <family val="2"/>
      </rPr>
      <t xml:space="preserve">용이면 초</t>
    </r>
    <r>
      <rPr>
        <sz val="9"/>
        <rFont val="맑은 고딕"/>
        <family val="0"/>
        <charset val="1"/>
      </rPr>
      <t xml:space="preserve">1~2 </t>
    </r>
    <r>
      <rPr>
        <sz val="9"/>
        <rFont val="WenQuanYi Zen Hei"/>
        <family val="2"/>
      </rPr>
      <t xml:space="preserve">판은 소재만 바꿔 제작 가능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 발문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책 </t>
    </r>
    <r>
      <rPr>
        <sz val="9"/>
        <rFont val="맑은 고딕"/>
        <family val="0"/>
        <charset val="1"/>
      </rPr>
      <t xml:space="preserve">12</t>
    </r>
    <r>
      <rPr>
        <sz val="9"/>
        <rFont val="WenQuanYi Zen Hei"/>
        <family val="2"/>
      </rPr>
      <t xml:space="preserve">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도화지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</si>
  <si>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-07</t>
    </r>
  </si>
  <si>
    <t xml:space="preserve">어디에 있는지 듣고 찾아요</t>
  </si>
  <si>
    <r>
      <rPr>
        <sz val="9"/>
        <rFont val="WenQuanYi Zen Hei"/>
        <family val="2"/>
      </rPr>
      <t xml:space="preserve">교실의 사물이나 대상에 관한 간단한 말을 듣고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</si>
  <si>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교실의 사물이나 대상에 관한 간단한 말을 듣고 이해할 수 있다</t>
    </r>
    <r>
      <rPr>
        <sz val="9"/>
        <rFont val="맑은 고딕"/>
        <family val="0"/>
        <charset val="1"/>
      </rPr>
      <t xml:space="preserve">.</t>
    </r>
  </si>
  <si>
    <t xml:space="preserve">L-2-3-1, L-2-3-2</t>
  </si>
  <si>
    <r>
      <rPr>
        <sz val="9"/>
        <rFont val="맑은 고딕"/>
        <family val="0"/>
        <charset val="1"/>
      </rPr>
      <t xml:space="preserve">L-2-3-1 </t>
    </r>
    <r>
      <rPr>
        <sz val="9"/>
        <rFont val="WenQuanYi Zen Hei"/>
        <family val="2"/>
      </rPr>
      <t xml:space="preserve">교실 사물의 위치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 옆에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손가락으로 가리킨다</t>
    </r>
    <r>
      <rPr>
        <sz val="9"/>
        <rFont val="맑은 고딕"/>
        <family val="0"/>
        <charset val="1"/>
      </rPr>
      <t xml:space="preserve">.
L-2-3-2 </t>
    </r>
    <r>
      <rPr>
        <sz val="9"/>
        <rFont val="WenQuanYi Zen Hei"/>
        <family val="2"/>
      </rPr>
      <t xml:space="preserve">사물의 색깔이나 크기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빨간 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큰 공책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맞는 사물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</si>
  <si>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창문 옆에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빨간 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큰 공책
② 교실 사물의 위치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 옆에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손가락으로 가리킨다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사물의 색깔이나 크기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빨간 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큰 공책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맞는 사물 그림을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L-2-3-1·L-2-3-2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</si>
  <si>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위치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모양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</si>
  <si>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-08</t>
    </r>
  </si>
  <si>
    <t xml:space="preserve">천천히 듣고 알맞은 그림을 골라요</t>
  </si>
  <si>
    <r>
      <rPr>
        <sz val="9"/>
        <rFont val="WenQuanYi Zen Hei"/>
        <family val="2"/>
      </rPr>
      <t xml:space="preserve">교사의 느린 발화를 듣고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</si>
  <si>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교사의 느린 발화를 듣고 이해할 수 있다</t>
    </r>
    <r>
      <rPr>
        <sz val="9"/>
        <rFont val="맑은 고딕"/>
        <family val="0"/>
        <charset val="1"/>
      </rPr>
      <t xml:space="preserve">.</t>
    </r>
  </si>
  <si>
    <t xml:space="preserve">L-2-4-1, L-2-4-2, L-2-4-3</t>
  </si>
  <si>
    <r>
      <rPr>
        <sz val="9"/>
        <rFont val="맑은 고딕"/>
        <family val="0"/>
        <charset val="1"/>
      </rPr>
      <t xml:space="preserve">L-2-4-1 </t>
    </r>
    <r>
      <rPr>
        <sz val="9"/>
        <rFont val="WenQuanYi Zen Hei"/>
        <family val="2"/>
      </rPr>
      <t xml:space="preserve">천천히 말한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보건실은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층에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문장과 맞는 그림을 고른다</t>
    </r>
    <r>
      <rPr>
        <sz val="9"/>
        <rFont val="맑은 고딕"/>
        <family val="0"/>
        <charset val="1"/>
      </rPr>
      <t xml:space="preserve">.
L-2-4-2 </t>
    </r>
    <r>
      <rPr>
        <sz val="9"/>
        <rFont val="WenQuanYi Zen Hei"/>
        <family val="2"/>
      </rPr>
      <t xml:space="preserve">천천히 말한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지우개가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해당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가리킨다</t>
    </r>
    <r>
      <rPr>
        <sz val="9"/>
        <rFont val="맑은 고딕"/>
        <family val="0"/>
        <charset val="1"/>
      </rPr>
      <t xml:space="preserve">.
L-2-4-3 </t>
    </r>
    <r>
      <rPr>
        <sz val="9"/>
        <rFont val="WenQuanYi Zen Hei"/>
        <family val="2"/>
      </rPr>
      <t xml:space="preserve">천천히 말한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 줄로 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</si>
  <si>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보건실은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층에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지우개가 어디에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 줄로 서세요
② 천천히 말한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보건실은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층에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문장과 맞는 그림을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천천히 말한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지우개가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해당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가리킨다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천천히 말한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 줄로 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</si>
  <si>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들은 대로 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고르기</t>
    </r>
    <r>
      <rPr>
        <sz val="9"/>
        <rFont val="맑은 고딕"/>
        <family val="0"/>
        <charset val="1"/>
      </rPr>
      <t xml:space="preserve">)</t>
    </r>
  </si>
  <si>
    <t xml:space="preserve">학교 장소</t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</si>
  <si>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</si>
  <si>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</t>
    </r>
  </si>
  <si>
    <t xml:space="preserve">친구가 좋아하는 것을 알아봐요</t>
  </si>
  <si>
    <r>
      <rPr>
        <sz val="9"/>
        <rFont val="WenQuanYi Zen Hei"/>
        <family val="2"/>
      </rPr>
      <t xml:space="preserve">관심사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좋아하는 것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 짐작할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</si>
  <si>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관심사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좋아하는 것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 짐작할 수 있다</t>
    </r>
    <r>
      <rPr>
        <sz val="9"/>
        <rFont val="맑은 고딕"/>
        <family val="0"/>
        <charset val="1"/>
      </rPr>
      <t xml:space="preserve">.</t>
    </r>
  </si>
  <si>
    <t xml:space="preserve">L-3-1-1, L-3-1-2, L-3-1-3</t>
  </si>
  <si>
    <r>
      <rPr>
        <sz val="9"/>
        <rFont val="맑은 고딕"/>
        <family val="0"/>
        <charset val="1"/>
      </rPr>
      <t xml:space="preserve">L-3-1-1 </t>
    </r>
    <r>
      <rPr>
        <sz val="9"/>
        <rFont val="WenQuanYi Zen Hei"/>
        <family val="2"/>
      </rPr>
      <t xml:space="preserve">좋아하는 놀이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술래잡기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하고 싶어 하는 놀이를 고른다</t>
    </r>
    <r>
      <rPr>
        <sz val="9"/>
        <rFont val="맑은 고딕"/>
        <family val="0"/>
        <charset val="1"/>
      </rPr>
      <t xml:space="preserve">.
L-3-1-2 </t>
    </r>
    <r>
      <rPr>
        <sz val="9"/>
        <rFont val="WenQuanYi Zen Hei"/>
        <family val="2"/>
      </rPr>
      <t xml:space="preserve">좋아하는 음식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떡볶이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불고기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먹고 싶어 하는 음식을 고른다</t>
    </r>
    <r>
      <rPr>
        <sz val="9"/>
        <rFont val="맑은 고딕"/>
        <family val="0"/>
        <charset val="1"/>
      </rPr>
      <t xml:space="preserve">.
L-3-1-3 </t>
    </r>
    <r>
      <rPr>
        <sz val="9"/>
        <rFont val="WenQuanYi Zen Hei"/>
        <family val="2"/>
      </rPr>
      <t xml:space="preserve">좋아하는 물건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장난감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갖고 싶어 하는 물건을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</si>
  <si>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공놀이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술래잡기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김밥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떡볶이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불고기
② 좋아하는 놀이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술래잡기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하고 싶어 하는 놀이를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좋아하는 음식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떡볶이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불고기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먹고 싶어 하는 음식을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좋아하는 물건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장난감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갖고 싶어 하는 물건을 고른다</t>
    </r>
    <r>
      <rPr>
        <sz val="9"/>
        <rFont val="맑은 고딕"/>
        <family val="0"/>
        <charset val="1"/>
      </rPr>
      <t xml:space="preserve">.</t>
    </r>
  </si>
  <si>
    <t xml:space="preserve">좋아하는 것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</si>
  <si>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</t>
    </r>
  </si>
  <si>
    <r>
      <rPr>
        <sz val="9"/>
        <rFont val="WenQuanYi Zen Hei"/>
        <family val="2"/>
      </rPr>
      <t xml:space="preserve">음성 필요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 파일 권장</t>
    </r>
    <r>
      <rPr>
        <sz val="9"/>
        <rFont val="맑은 고딕"/>
        <family val="0"/>
        <charset val="1"/>
      </rPr>
      <t xml:space="preserve">) / 2</t>
    </r>
    <r>
      <rPr>
        <sz val="9"/>
        <rFont val="WenQuanYi Zen Hei"/>
        <family val="2"/>
      </rPr>
      <t xml:space="preserve">인 이상 화자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</si>
  <si>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</t>
    </r>
  </si>
  <si>
    <t xml:space="preserve">주말 이야기를 듣고 장소를 찾아요</t>
  </si>
  <si>
    <r>
      <rPr>
        <sz val="9"/>
        <rFont val="WenQuanYi Zen Hei"/>
        <family val="2"/>
      </rPr>
      <t xml:space="preserve">겪은 일에 관한 이야기를 듣고 대강의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</si>
  <si>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일에 관한 이야기를 듣고 대강의 내용을 이해할 수 있다</t>
    </r>
    <r>
      <rPr>
        <sz val="9"/>
        <rFont val="맑은 고딕"/>
        <family val="0"/>
        <charset val="1"/>
      </rPr>
      <t xml:space="preserve">.</t>
    </r>
  </si>
  <si>
    <t xml:space="preserve">L-3-2-1, L-3-2-2, L-3-2-3</t>
  </si>
  <si>
    <r>
      <rPr>
        <sz val="9"/>
        <rFont val="맑은 고딕"/>
        <family val="0"/>
        <charset val="1"/>
      </rPr>
      <t xml:space="preserve">L-3-2-1 </t>
    </r>
    <r>
      <rPr>
        <sz val="9"/>
        <rFont val="WenQuanYi Zen Hei"/>
        <family val="2"/>
      </rPr>
      <t xml:space="preserve">겪은 일에 관한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관련된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고른다</t>
    </r>
    <r>
      <rPr>
        <sz val="9"/>
        <rFont val="맑은 고딕"/>
        <family val="0"/>
        <charset val="1"/>
      </rPr>
      <t xml:space="preserve">.
L-3-2-2 </t>
    </r>
    <r>
      <rPr>
        <sz val="9"/>
        <rFont val="WenQuanYi Zen Hei"/>
        <family val="2"/>
      </rPr>
      <t xml:space="preserve">겪은 일의 순서가 담긴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여행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이야기 순서대로 배열한다</t>
    </r>
    <r>
      <rPr>
        <sz val="9"/>
        <rFont val="맑은 고딕"/>
        <family val="0"/>
        <charset val="1"/>
      </rPr>
      <t xml:space="preserve">.
L-3-2-3 </t>
    </r>
    <r>
      <rPr>
        <sz val="9"/>
        <rFont val="WenQuanYi Zen Hei"/>
        <family val="2"/>
      </rPr>
      <t xml:space="preserve">겪은 일에 관한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일치하는 내용을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</si>
  <si>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여행
② 겪은 일에 관한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관련된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겪은 일의 순서가 담긴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여행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이야기 순서대로 배열한다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겪은 일에 관한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일치하는 내용을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</si>
  <si>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표시하기</t>
    </r>
    <r>
      <rPr>
        <sz val="9"/>
        <rFont val="맑은 고딕"/>
        <family val="0"/>
        <charset val="1"/>
      </rPr>
      <t xml:space="preserve">(O/X)</t>
    </r>
  </si>
  <si>
    <t xml:space="preserve">겪은 일</t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</si>
  <si>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</si>
  <si>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</t>
    </r>
  </si>
  <si>
    <t xml:space="preserve">그림을 보며 방학 이야기를 들어요</t>
  </si>
  <si>
    <r>
      <rPr>
        <sz val="9"/>
        <rFont val="WenQuanYi Zen Hei"/>
        <family val="2"/>
      </rPr>
      <t xml:space="preserve">단서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주어진 짧은 이야기를 듣고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</si>
  <si>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주어진 짧은 이야기를 듣고 내용을 이해할 수 있다</t>
    </r>
    <r>
      <rPr>
        <sz val="9"/>
        <rFont val="맑은 고딕"/>
        <family val="0"/>
        <charset val="1"/>
      </rPr>
      <t xml:space="preserve">.</t>
    </r>
  </si>
  <si>
    <t xml:space="preserve">L-3-3-1, L-3-3-2</t>
  </si>
  <si>
    <r>
      <rPr>
        <sz val="9"/>
        <rFont val="맑은 고딕"/>
        <family val="0"/>
        <charset val="1"/>
      </rPr>
      <t xml:space="preserve">L-3-3-1 </t>
    </r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한 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이야기 속 인물과 행동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걸었다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뛰었다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연결한다</t>
    </r>
    <r>
      <rPr>
        <sz val="9"/>
        <rFont val="맑은 고딕"/>
        <family val="0"/>
        <charset val="1"/>
      </rPr>
      <t xml:space="preserve">.
L-3-3-2 </t>
    </r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 동안 한 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 동안 무엇을 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답을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</si>
  <si>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방학동안 한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걸었다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뛰었다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방학 동안 한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방학 동안 무엇을 했나요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한 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이야기 속 인물과 행동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걸었다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뛰었다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연결한다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 동안 한 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 동안 무엇을 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답을 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L-3-3-1·L-3-3-2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</si>
  <si>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선 잇기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</si>
  <si>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</si>
  <si>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</t>
    </r>
  </si>
  <si>
    <t xml:space="preserve">선생님 설명에서 중요한 낱말을 찾아요</t>
  </si>
  <si>
    <r>
      <rPr>
        <sz val="9"/>
        <rFont val="WenQuanYi Zen Hei"/>
        <family val="2"/>
      </rPr>
      <t xml:space="preserve">교사의 발화를 듣고 내용을 부분적으로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</si>
  <si>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교사의 발화를 듣고 내용을 부분적으로 이해할 수 있다</t>
    </r>
    <r>
      <rPr>
        <sz val="9"/>
        <rFont val="맑은 고딕"/>
        <family val="0"/>
        <charset val="1"/>
      </rPr>
      <t xml:space="preserve">.</t>
    </r>
  </si>
  <si>
    <t xml:space="preserve">L-3-4-1, L-3-4-2</t>
  </si>
  <si>
    <r>
      <rPr>
        <sz val="9"/>
        <rFont val="맑은 고딕"/>
        <family val="0"/>
        <charset val="1"/>
      </rPr>
      <t xml:space="preserve">L-3-4-1 </t>
    </r>
    <r>
      <rPr>
        <sz val="9"/>
        <rFont val="WenQuanYi Zen Hei"/>
        <family val="2"/>
      </rPr>
      <t xml:space="preserve">교사의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명절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중심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명절 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음식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
L-3-4-2 </t>
    </r>
    <r>
      <rPr>
        <sz val="9"/>
        <rFont val="WenQuanYi Zen Hei"/>
        <family val="2"/>
      </rPr>
      <t xml:space="preserve">교사의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 체험 학습 준비물 안내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중심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 중 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도시락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</si>
  <si>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명절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명절 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현장 체험 학습 준비물 안내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준비물 중 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도시락
② 교사의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명절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중심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명절 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음식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교사의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 체험 학습 준비물 안내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중심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 중 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도시락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L-3-4-1·L-3-4-2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</si>
  <si>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t xml:space="preserve">학교 행사</t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</si>
  <si>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-14,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</si>
  <si>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-13</t>
    </r>
  </si>
  <si>
    <t xml:space="preserve">친구 소개를 듣고 알아봐요</t>
  </si>
  <si>
    <r>
      <rPr>
        <sz val="9"/>
        <rFont val="WenQuanYi Zen Hei"/>
        <family val="2"/>
      </rPr>
      <t xml:space="preserve">친숙한 주제의 이야기를 듣고 대강의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</si>
  <si>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이야기를 듣고 대강의 내용을 이해할 수 있다</t>
    </r>
    <r>
      <rPr>
        <sz val="9"/>
        <rFont val="맑은 고딕"/>
        <family val="0"/>
        <charset val="1"/>
      </rPr>
      <t xml:space="preserve">.</t>
    </r>
  </si>
  <si>
    <t xml:space="preserve">L-4-1-1, L-4-1-2</t>
  </si>
  <si>
    <r>
      <rPr>
        <sz val="9"/>
        <rFont val="맑은 고딕"/>
        <family val="0"/>
        <charset val="1"/>
      </rPr>
      <t xml:space="preserve">L-4-1-1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이야기의 주제를 답한다</t>
    </r>
    <r>
      <rPr>
        <sz val="9"/>
        <rFont val="맑은 고딕"/>
        <family val="0"/>
        <charset val="1"/>
      </rPr>
      <t xml:space="preserve">.
L-4-1-2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</si>
  <si>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
② 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이야기의 주제를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L-4-1-1·L-4-1-2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</si>
  <si>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가족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소개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</si>
  <si>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-16,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</si>
  <si>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-14</t>
    </r>
  </si>
  <si>
    <t xml:space="preserve">안내를 듣고 시간과 장소를 찾아요</t>
  </si>
  <si>
    <r>
      <rPr>
        <sz val="9"/>
        <rFont val="WenQuanYi Zen Hei"/>
        <family val="2"/>
      </rPr>
      <t xml:space="preserve">정보를 알리는 말을 듣고 주요 내용을 찾을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</si>
  <si>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알리는 말을 듣고 주요 내용을 찾을 수 있다</t>
    </r>
    <r>
      <rPr>
        <sz val="9"/>
        <rFont val="맑은 고딕"/>
        <family val="0"/>
        <charset val="1"/>
      </rPr>
      <t xml:space="preserve">.</t>
    </r>
  </si>
  <si>
    <t xml:space="preserve">L-4-2-1, L-4-2-2, L-4-2-3</t>
  </si>
  <si>
    <r>
      <rPr>
        <sz val="9"/>
        <rFont val="맑은 고딕"/>
        <family val="0"/>
        <charset val="1"/>
      </rPr>
      <t xml:space="preserve">L-4-2-1 </t>
    </r>
    <r>
      <rPr>
        <sz val="9"/>
        <rFont val="WenQuanYi Zen Hei"/>
        <family val="2"/>
      </rPr>
      <t xml:space="preserve">안내 방송이나 교사의 알림</t>
    </r>
    <r>
      <rPr>
        <sz val="9"/>
        <rFont val="맑은 고딕"/>
        <family val="0"/>
        <charset val="1"/>
      </rPr>
      <t xml:space="preserve">(2</t>
    </r>
    <r>
      <rPr>
        <sz val="9"/>
        <rFont val="WenQuanYi Zen Hei"/>
        <family val="2"/>
      </rPr>
      <t xml:space="preserve">시에 도서관으로 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시간이나 장소를 답한다</t>
    </r>
    <r>
      <rPr>
        <sz val="9"/>
        <rFont val="맑은 고딕"/>
        <family val="0"/>
        <charset val="1"/>
      </rPr>
      <t xml:space="preserve">.
L-4-2-2 </t>
    </r>
    <r>
      <rPr>
        <sz val="9"/>
        <rFont val="WenQuanYi Zen Hei"/>
        <family val="2"/>
      </rPr>
      <t xml:space="preserve">준비물을 안내하는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물감을 들고 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준비해야 할 물건을 고른다</t>
    </r>
    <r>
      <rPr>
        <sz val="9"/>
        <rFont val="맑은 고딕"/>
        <family val="0"/>
        <charset val="1"/>
      </rPr>
      <t xml:space="preserve">.
L-4-2-3 </t>
    </r>
    <r>
      <rPr>
        <sz val="9"/>
        <rFont val="WenQuanYi Zen Hei"/>
        <family val="2"/>
      </rPr>
      <t xml:space="preserve">학교 행사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 대회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그에 관한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</si>
  <si>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2</t>
    </r>
    <r>
      <rPr>
        <sz val="9"/>
        <rFont val="WenQuanYi Zen Hei"/>
        <family val="2"/>
      </rPr>
      <t xml:space="preserve">시에 도서관으로 오세요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물감을 들고 오세요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 대회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
② 안내 방송이나 교사의 알림</t>
    </r>
    <r>
      <rPr>
        <sz val="9"/>
        <rFont val="맑은 고딕"/>
        <family val="0"/>
        <charset val="1"/>
      </rPr>
      <t xml:space="preserve">(2</t>
    </r>
    <r>
      <rPr>
        <sz val="9"/>
        <rFont val="WenQuanYi Zen Hei"/>
        <family val="2"/>
      </rPr>
      <t xml:space="preserve">시에 도서관으로 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시간이나 장소를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준비물을 안내하는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물감을 들고 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준비해야 할 물건을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학교 행사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 대회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그에 관한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</si>
  <si>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</si>
  <si>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-15</t>
    </r>
  </si>
  <si>
    <t xml:space="preserve">친구의 발표를 듣고 답해요</t>
  </si>
  <si>
    <r>
      <rPr>
        <sz val="9"/>
        <rFont val="WenQuanYi Zen Hei"/>
        <family val="2"/>
      </rPr>
      <t xml:space="preserve">이야기나 발표를 듣고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</si>
  <si>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이야기나 발표를 듣고 내용을 이해할 수 있다</t>
    </r>
    <r>
      <rPr>
        <sz val="9"/>
        <rFont val="맑은 고딕"/>
        <family val="0"/>
        <charset val="1"/>
      </rPr>
      <t xml:space="preserve">.</t>
    </r>
  </si>
  <si>
    <t xml:space="preserve">L-4-3-1, L-4-3-2, L-4-3-3</t>
  </si>
  <si>
    <r>
      <rPr>
        <sz val="9"/>
        <rFont val="맑은 고딕"/>
        <family val="0"/>
        <charset val="1"/>
      </rPr>
      <t xml:space="preserve">L-4-3-1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발표자가 소개한 대상을 보기에서 고른다</t>
    </r>
    <r>
      <rPr>
        <sz val="9"/>
        <rFont val="맑은 고딕"/>
        <family val="0"/>
        <charset val="1"/>
      </rPr>
      <t xml:space="preserve">.
L-4-3-2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 내용과 맞는 그림을 모두 고른다</t>
    </r>
    <r>
      <rPr>
        <sz val="9"/>
        <rFont val="맑은 고딕"/>
        <family val="0"/>
        <charset val="1"/>
      </rPr>
      <t xml:space="preserve">.
L-4-3-3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들은 내용에 대한 사실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</si>
  <si>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발표자가 소개한 대상을 보기에서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 내용과 맞는 그림을 모두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들은 내용에 대한 사실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이…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</si>
  <si>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여러 개 고르기</t>
    </r>
  </si>
  <si>
    <t xml:space="preserve">발표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</si>
  <si>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-18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</si>
  <si>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-16</t>
    </r>
  </si>
  <si>
    <t xml:space="preserve">설명을 듣고 순서대로 해요</t>
  </si>
  <si>
    <r>
      <rPr>
        <sz val="9"/>
        <rFont val="WenQuanYi Zen Hei"/>
        <family val="2"/>
      </rPr>
      <t xml:space="preserve">교사의 발화를 듣고 주요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</si>
  <si>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교사의 발화를 듣고 주요 내용을 이해할 수 있다</t>
    </r>
    <r>
      <rPr>
        <sz val="9"/>
        <rFont val="맑은 고딕"/>
        <family val="0"/>
        <charset val="1"/>
      </rPr>
      <t xml:space="preserve">.</t>
    </r>
  </si>
  <si>
    <t xml:space="preserve">L-4-4-1, L-4-4-2</t>
  </si>
  <si>
    <r>
      <rPr>
        <sz val="9"/>
        <rFont val="맑은 고딕"/>
        <family val="0"/>
        <charset val="1"/>
      </rPr>
      <t xml:space="preserve">L-4-4-1 </t>
    </r>
    <r>
      <rPr>
        <sz val="9"/>
        <rFont val="WenQuanYi Zen Hei"/>
        <family val="2"/>
      </rPr>
      <t xml:space="preserve">교사의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씨앗 심기 과정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일의 순서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흙 담기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씨앗 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 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
L-4-4-2 </t>
    </r>
    <r>
      <rPr>
        <sz val="9"/>
        <rFont val="WenQuanYi Zen Hei"/>
        <family val="2"/>
      </rPr>
      <t xml:space="preserve">교사의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 체험 학습 주의 사항 안내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</si>
  <si>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씨앗 심기 과정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흙 담기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씨앗 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 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현장 체험 학습 주의 사항 안내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예절
② 교사의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씨앗 심기 과정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일의 순서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흙 담기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씨앗 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 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교사의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 체험 학습 주의 사항 안내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L-4-4-1·L-4-4-2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</si>
  <si>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</t>
    </r>
  </si>
  <si>
    <r>
      <rPr>
        <sz val="9"/>
        <rFont val="WenQuanYi Zen Hei"/>
        <family val="2"/>
      </rPr>
      <t xml:space="preserve">순서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과정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</si>
  <si>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</si>
  <si>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-01</t>
    </r>
  </si>
  <si>
    <t xml:space="preserve">교실 물건 이름을 말해요</t>
  </si>
  <si>
    <r>
      <rPr>
        <sz val="9"/>
        <rFont val="WenQuanYi Zen Hei"/>
        <family val="2"/>
      </rPr>
      <t xml:space="preserve">주변의 사물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대상에 대해 짧고 쉬운 단어로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</si>
  <si>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주변의 사물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대상에 대해 짧고 쉬운 단어로 말할 수 있다</t>
    </r>
    <r>
      <rPr>
        <sz val="9"/>
        <rFont val="맑은 고딕"/>
        <family val="0"/>
        <charset val="1"/>
      </rPr>
      <t xml:space="preserve">.</t>
    </r>
  </si>
  <si>
    <t xml:space="preserve">S-1-1-1, S-1-1-2, S-1-1-3</t>
  </si>
  <si>
    <r>
      <rPr>
        <sz val="9"/>
        <rFont val="맑은 고딕"/>
        <family val="0"/>
        <charset val="1"/>
      </rPr>
      <t xml:space="preserve">S-1-1-1 </t>
    </r>
    <r>
      <rPr>
        <sz val="9"/>
        <rFont val="WenQuanYi Zen Hei"/>
        <family val="2"/>
      </rPr>
      <t xml:space="preserve">가리키는 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이름을 한 단어로 말한다</t>
    </r>
    <r>
      <rPr>
        <sz val="9"/>
        <rFont val="맑은 고딕"/>
        <family val="0"/>
        <charset val="1"/>
      </rPr>
      <t xml:space="preserve">.
S-1-1-2 </t>
    </r>
    <r>
      <rPr>
        <sz val="9"/>
        <rFont val="WenQuanYi Zen Hei"/>
        <family val="2"/>
      </rPr>
      <t xml:space="preserve">그림 카드를 보고 동물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고양이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S-1-1-3 </t>
    </r>
    <r>
      <rPr>
        <sz val="9"/>
        <rFont val="WenQuanYi Zen Hei"/>
        <family val="2"/>
      </rPr>
      <t xml:space="preserve">자신이 가진 물건의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</si>
  <si>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고양이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
② 가리키는 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이름을 한 단어로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 카드를 보고 동물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고양이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자신이 가진 물건의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</si>
  <si>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상황 보고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</si>
  <si>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-04</t>
    </r>
  </si>
  <si>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다시 듣기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저장 안 함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판정은 교사 확인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</si>
  <si>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-02</t>
    </r>
  </si>
  <si>
    <t xml:space="preserve">친구와 어른에게 인사해요</t>
  </si>
  <si>
    <r>
      <rPr>
        <sz val="9"/>
        <rFont val="WenQuanYi Zen Hei"/>
        <family val="2"/>
      </rPr>
      <t xml:space="preserve">간단한 인사말을 주고받을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</si>
  <si>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간단한 인사말을 주고받을 수 있다</t>
    </r>
    <r>
      <rPr>
        <sz val="9"/>
        <rFont val="맑은 고딕"/>
        <family val="0"/>
        <charset val="1"/>
      </rPr>
      <t xml:space="preserve">.</t>
    </r>
  </si>
  <si>
    <t xml:space="preserve">S-1-2-1, S-1-2-2</t>
  </si>
  <si>
    <r>
      <rPr>
        <sz val="9"/>
        <rFont val="맑은 고딕"/>
        <family val="0"/>
        <charset val="1"/>
      </rPr>
      <t xml:space="preserve">S-1-2-1 </t>
    </r>
    <r>
      <rPr>
        <sz val="9"/>
        <rFont val="WenQuanYi Zen Hei"/>
        <family val="2"/>
      </rPr>
      <t xml:space="preserve">친구와 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S-1-2-2 </t>
    </r>
    <r>
      <rPr>
        <sz val="9"/>
        <rFont val="WenQuanYi Zen Hei"/>
        <family val="2"/>
      </rPr>
      <t xml:space="preserve">어른과 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</si>
  <si>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안녕히 계세요
② 친구와 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어른과 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S-1-2-1·S-1-2-2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</si>
  <si>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</si>
  <si>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-03</t>
    </r>
  </si>
  <si>
    <t xml:space="preserve">이름과 나이를 말해요</t>
  </si>
  <si>
    <r>
      <rPr>
        <sz val="9"/>
        <rFont val="WenQuanYi Zen Hei"/>
        <family val="2"/>
      </rPr>
      <t xml:space="preserve">교사의 질문에 간단하게 대답할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</si>
  <si>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교사의 질문에 간단하게 대답할 수 있다</t>
    </r>
    <r>
      <rPr>
        <sz val="9"/>
        <rFont val="맑은 고딕"/>
        <family val="0"/>
        <charset val="1"/>
      </rPr>
      <t xml:space="preserve">.</t>
    </r>
  </si>
  <si>
    <t xml:space="preserve">S-1-3-1, S-1-3-2, S-1-3-3</t>
  </si>
  <si>
    <r>
      <rPr>
        <sz val="9"/>
        <rFont val="맑은 고딕"/>
        <family val="0"/>
        <charset val="1"/>
      </rPr>
      <t xml:space="preserve">S-1-3-1 </t>
    </r>
    <r>
      <rPr>
        <sz val="9"/>
        <rFont val="WenQuanYi Zen Hei"/>
        <family val="2"/>
      </rPr>
      <t xml:space="preserve">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이름이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○○예요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S-1-3-2 </t>
    </r>
    <r>
      <rPr>
        <sz val="9"/>
        <rFont val="WenQuanYi Zen Hei"/>
        <family val="2"/>
      </rPr>
      <t xml:space="preserve">나이를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몇 살이예요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숫자나 짧은 문장</t>
    </r>
    <r>
      <rPr>
        <sz val="9"/>
        <rFont val="맑은 고딕"/>
        <family val="0"/>
        <charset val="1"/>
      </rPr>
      <t xml:space="preserve">(8, </t>
    </r>
    <r>
      <rPr>
        <sz val="9"/>
        <rFont val="WenQuanYi Zen Hei"/>
        <family val="2"/>
      </rPr>
      <t xml:space="preserve">여덟 살이에요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
S-1-3-3 </t>
    </r>
    <r>
      <rPr>
        <sz val="9"/>
        <rFont val="WenQuanYi Zen Hei"/>
        <family val="2"/>
      </rPr>
      <t xml:space="preserve">물건의 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에 한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</si>
  <si>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이름이 뭐예요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저는 ○○예요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몇 살이예요</t>
    </r>
    <r>
      <rPr>
        <sz val="9"/>
        <rFont val="맑은 고딕"/>
        <family val="0"/>
        <charset val="1"/>
      </rPr>
      <t xml:space="preserve">?, 8, </t>
    </r>
    <r>
      <rPr>
        <sz val="9"/>
        <rFont val="WenQuanYi Zen Hei"/>
        <family val="2"/>
      </rPr>
      <t xml:space="preserve">여덟 살이에요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이것은 뭐예요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이름이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○○예요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나이를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몇 살이예요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숫자나 짧은 문장</t>
    </r>
    <r>
      <rPr>
        <sz val="9"/>
        <rFont val="맑은 고딕"/>
        <family val="0"/>
        <charset val="1"/>
      </rPr>
      <t xml:space="preserve">(8, </t>
    </r>
    <r>
      <rPr>
        <sz val="9"/>
        <rFont val="WenQuanYi Zen Hei"/>
        <family val="2"/>
      </rPr>
      <t xml:space="preserve">여덟 살이에요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물건의 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에 한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</si>
  <si>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t xml:space="preserve">자기소개</t>
  </si>
  <si>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</si>
  <si>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-04</t>
    </r>
  </si>
  <si>
    <t xml:space="preserve">필요한 것을 말해요</t>
  </si>
  <si>
    <r>
      <rPr>
        <sz val="9"/>
        <rFont val="WenQuanYi Zen Hei"/>
        <family val="2"/>
      </rPr>
      <t xml:space="preserve">주요 단어로 의사를 표현할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</si>
  <si>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주요 단어로 의사를 표현할 수 있다</t>
    </r>
    <r>
      <rPr>
        <sz val="9"/>
        <rFont val="맑은 고딕"/>
        <family val="0"/>
        <charset val="1"/>
      </rPr>
      <t xml:space="preserve">.</t>
    </r>
  </si>
  <si>
    <t xml:space="preserve">S-1-4-1, S-1-4-2, S-1-4-3</t>
  </si>
  <si>
    <r>
      <rPr>
        <sz val="9"/>
        <rFont val="맑은 고딕"/>
        <family val="0"/>
        <charset val="1"/>
      </rPr>
      <t xml:space="preserve">S-1-4-1 </t>
    </r>
    <r>
      <rPr>
        <sz val="9"/>
        <rFont val="WenQuanYi Zen Hei"/>
        <family val="2"/>
      </rPr>
      <t xml:space="preserve">활동 중 필요한 것이 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휴지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말하여 요구한다</t>
    </r>
    <r>
      <rPr>
        <sz val="9"/>
        <rFont val="맑은 고딕"/>
        <family val="0"/>
        <charset val="1"/>
      </rPr>
      <t xml:space="preserve">.
S-1-4-2 </t>
    </r>
    <r>
      <rPr>
        <sz val="9"/>
        <rFont val="WenQuanYi Zen Hei"/>
        <family val="2"/>
      </rPr>
      <t xml:space="preserve">하고 싶은 활동을 한 단어나 짧은 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말한다</t>
    </r>
    <r>
      <rPr>
        <sz val="9"/>
        <rFont val="맑은 고딕"/>
        <family val="0"/>
        <charset val="1"/>
      </rPr>
      <t xml:space="preserve">.
S-1-4-3 </t>
    </r>
    <r>
      <rPr>
        <sz val="9"/>
        <rFont val="WenQuanYi Zen Hei"/>
        <family val="2"/>
      </rPr>
      <t xml:space="preserve">싫거나 어려운 상황에서 거절이나 도움 요청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</si>
  <si>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휴지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도와주세요
② 활동 중 필요한 것이 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휴지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말하여 요구한다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하고 싶은 활동을 한 단어나 짧은 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싫거나 어려운 상황에서 거절이나 도움 요청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</si>
  <si>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t xml:space="preserve">도움 요청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</si>
  <si>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-09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</si>
  <si>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-05</t>
    </r>
  </si>
  <si>
    <t xml:space="preserve">천천히 또박또박 말해요</t>
  </si>
  <si>
    <r>
      <rPr>
        <sz val="9"/>
        <rFont val="WenQuanYi Zen Hei"/>
        <family val="2"/>
      </rPr>
      <t xml:space="preserve">부정확하지만 이해할 수 있는 발음과 속도로 천천히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</si>
  <si>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부정확하지만 이해할 수 있는 발음과 속도로 천천히 말할 수 있다</t>
    </r>
    <r>
      <rPr>
        <sz val="9"/>
        <rFont val="맑은 고딕"/>
        <family val="0"/>
        <charset val="1"/>
      </rPr>
      <t xml:space="preserve">.</t>
    </r>
  </si>
  <si>
    <t xml:space="preserve">S-1-5-1, S-1-5-2</t>
  </si>
  <si>
    <r>
      <rPr>
        <sz val="9"/>
        <rFont val="맑은 고딕"/>
        <family val="0"/>
        <charset val="1"/>
      </rPr>
      <t xml:space="preserve">S-1-5-1 </t>
    </r>
    <r>
      <rPr>
        <sz val="9"/>
        <rFont val="WenQuanYi Zen Hei"/>
        <family val="2"/>
      </rPr>
      <t xml:space="preserve">발음이 서툴러도 한음절씩 천천히 말한다</t>
    </r>
    <r>
      <rPr>
        <sz val="9"/>
        <rFont val="맑은 고딕"/>
        <family val="0"/>
        <charset val="1"/>
      </rPr>
      <t xml:space="preserve">.
S-1-5-2 </t>
    </r>
    <r>
      <rPr>
        <sz val="9"/>
        <rFont val="WenQuanYi Zen Hei"/>
        <family val="2"/>
      </rPr>
      <t xml:space="preserve">상대가 알아듣지 못했을 때 같은 말을 다시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</si>
  <si>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발음이 서툴러도 한음절씩 천천히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상대가 알아듣지 못했을 때 같은 말을 다시 천천히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S-1-5-1·S-1-5-2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</si>
  <si>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따라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 비교</t>
    </r>
    <r>
      <rPr>
        <sz val="9"/>
        <rFont val="맑은 고딕"/>
        <family val="0"/>
        <charset val="1"/>
      </rPr>
      <t xml:space="preserve">)</t>
    </r>
  </si>
  <si>
    <t xml:space="preserve">발음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</si>
  <si>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</si>
  <si>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다시 듣기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저장 안 함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판정은 교사 확인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모범 발음 녹음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</si>
  <si>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-06</t>
    </r>
  </si>
  <si>
    <t xml:space="preserve">교실에서 자주 쓰는 말을 해요</t>
  </si>
  <si>
    <r>
      <rPr>
        <sz val="9"/>
        <rFont val="WenQuanYi Zen Hei"/>
        <family val="2"/>
      </rPr>
      <t xml:space="preserve">교실에서 자주 사용하는 문장으로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</si>
  <si>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교실에서 자주 사용하는 문장으로 말할 수 있다</t>
    </r>
    <r>
      <rPr>
        <sz val="9"/>
        <rFont val="맑은 고딕"/>
        <family val="0"/>
        <charset val="1"/>
      </rPr>
      <t xml:space="preserve">.</t>
    </r>
  </si>
  <si>
    <t xml:space="preserve">S-2-1-1, S-2-1-2, S-2-1-3</t>
  </si>
  <si>
    <r>
      <rPr>
        <sz val="9"/>
        <rFont val="맑은 고딕"/>
        <family val="0"/>
        <charset val="1"/>
      </rPr>
      <t xml:space="preserve">S-2-1-1 </t>
    </r>
    <r>
      <rPr>
        <sz val="9"/>
        <rFont val="WenQuanYi Zen Hei"/>
        <family val="2"/>
      </rPr>
      <t xml:space="preserve">교실에서 자주 사용하는 문장으로 말할 수 있다</t>
    </r>
    <r>
      <rPr>
        <sz val="9"/>
        <rFont val="맑은 고딕"/>
        <family val="0"/>
        <charset val="1"/>
      </rPr>
      <t xml:space="preserve">.
S-2-1-2 </t>
    </r>
    <r>
      <rPr>
        <sz val="9"/>
        <rFont val="WenQuanYi Zen Hei"/>
        <family val="2"/>
      </rPr>
      <t xml:space="preserve">교실 활동에서 허락을 구하는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화장실 가도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S-2-1-3 </t>
    </r>
    <r>
      <rPr>
        <sz val="9"/>
        <rFont val="WenQuanYi Zen Hei"/>
        <family val="2"/>
      </rPr>
      <t xml:space="preserve">문제가 생겼을 때 교사에게 상황을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공책이 없어요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</si>
  <si>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화장실 가도 돼요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공책이 없어요
② 교실에서 자주 사용하는 문장으로 말할 수 있다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교실 활동에서 허락을 구하는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화장실 가도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문제가 생겼을 때 교사에게 상황을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공책이 없어요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</si>
  <si>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</si>
  <si>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</t>
    </r>
  </si>
  <si>
    <t xml:space="preserve">날씨와 좋아하는 것을 대답해요</t>
  </si>
  <si>
    <r>
      <rPr>
        <sz val="9"/>
        <rFont val="WenQuanYi Zen Hei"/>
        <family val="2"/>
      </rPr>
      <t xml:space="preserve">일상생활에서 자주 묻는 질문에 짧게 대답할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</si>
  <si>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일상생활에서 자주 묻는 질문에 짧게 대답할 수 있다</t>
    </r>
    <r>
      <rPr>
        <sz val="9"/>
        <rFont val="맑은 고딕"/>
        <family val="0"/>
        <charset val="1"/>
      </rPr>
      <t xml:space="preserve">.</t>
    </r>
  </si>
  <si>
    <t xml:space="preserve">S-2-2-1, S-2-2-2, S-2-2-3</t>
  </si>
  <si>
    <r>
      <rPr>
        <sz val="9"/>
        <rFont val="맑은 고딕"/>
        <family val="0"/>
        <charset val="1"/>
      </rPr>
      <t xml:space="preserve">S-2-2-1 </t>
    </r>
    <r>
      <rPr>
        <sz val="9"/>
        <rFont val="WenQuanYi Zen Hei"/>
        <family val="2"/>
      </rPr>
      <t xml:space="preserve">오늘의 날씨를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 날씨는 어때요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흐려요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맑아요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
S-2-2-2 </t>
    </r>
    <r>
      <rPr>
        <sz val="9"/>
        <rFont val="WenQuanYi Zen Hei"/>
        <family val="2"/>
      </rPr>
      <t xml:space="preserve">좋아하는 것을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운동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과일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음식을 좋아해요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대상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축구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김밥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넣어 답한다</t>
    </r>
    <r>
      <rPr>
        <sz val="9"/>
        <rFont val="맑은 고딕"/>
        <family val="0"/>
        <charset val="1"/>
      </rPr>
      <t xml:space="preserve">.
S-2-2-3 </t>
    </r>
    <r>
      <rPr>
        <sz val="9"/>
        <rFont val="WenQuanYi Zen Hei"/>
        <family val="2"/>
      </rPr>
      <t xml:space="preserve">어디에 사는지 또는 어디에서 왔는지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어디에 살아요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</si>
  <si>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오늘 날씨는 어때요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흐려요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맑아요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어떤 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과일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음식을 좋아해요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오늘의 날씨를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 날씨는 어때요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흐려요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맑아요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좋아하는 것을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운동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과일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음식을 좋아해요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대상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축구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김밥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넣어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어디에 사는지 또는 어디에서 왔는지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어디에 살아요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</si>
  <si>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</si>
  <si>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-08</t>
    </r>
  </si>
  <si>
    <t xml:space="preserve">모르는 것을 물어봐요</t>
  </si>
  <si>
    <r>
      <rPr>
        <sz val="9"/>
        <rFont val="WenQuanYi Zen Hei"/>
        <family val="2"/>
      </rPr>
      <t xml:space="preserve">학교생활에서 간단한 정보를 요구하는 질문을 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</si>
  <si>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학교생활에서 간단한 정보를 요구하는 질문을 할 수 있다</t>
    </r>
    <r>
      <rPr>
        <sz val="9"/>
        <rFont val="맑은 고딕"/>
        <family val="0"/>
        <charset val="1"/>
      </rPr>
      <t xml:space="preserve">.</t>
    </r>
  </si>
  <si>
    <t xml:space="preserve">S-2-3-1, S-2-3-2, S-2-3-3, S-2-3-4</t>
  </si>
  <si>
    <r>
      <rPr>
        <sz val="9"/>
        <rFont val="맑은 고딕"/>
        <family val="0"/>
        <charset val="1"/>
      </rPr>
      <t xml:space="preserve">S-2-3-1 </t>
    </r>
    <r>
      <rPr>
        <sz val="9"/>
        <rFont val="WenQuanYi Zen Hei"/>
        <family val="2"/>
      </rPr>
      <t xml:space="preserve">활동 방법을 모를 때 방법을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어떻게 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S-2-3-2 </t>
    </r>
    <r>
      <rPr>
        <sz val="9"/>
        <rFont val="WenQuanYi Zen Hei"/>
        <family val="2"/>
      </rPr>
      <t xml:space="preserve">수업 준비물의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색연필 어디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S-2-3-3 </t>
    </r>
    <r>
      <rPr>
        <sz val="9"/>
        <rFont val="WenQuanYi Zen Hei"/>
        <family val="2"/>
      </rPr>
      <t xml:space="preserve">교실의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보건실이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S-2-3-4 </t>
    </r>
    <r>
      <rPr>
        <sz val="9"/>
        <rFont val="WenQuanYi Zen Hei"/>
        <family val="2"/>
      </rPr>
      <t xml:space="preserve">교사나 친구에게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이게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몇 쪽이에요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</si>
  <si>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어떻게 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색연필 어디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보건실이 어디에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이게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몇 쪽이에요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활동 방법을 모를 때 방법을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어떻게 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수업 준비물의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색연필 어디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교실의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보건실이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</si>
  <si>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질문 만들어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</si>
  <si>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-06,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-08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</si>
  <si>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-09</t>
    </r>
  </si>
  <si>
    <t xml:space="preserve">내 마음을 한 문장으로 말해요</t>
  </si>
  <si>
    <r>
      <rPr>
        <sz val="9"/>
        <rFont val="WenQuanYi Zen Hei"/>
        <family val="2"/>
      </rPr>
      <t xml:space="preserve">간단한 문장으로 의사를 표현할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</si>
  <si>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간단한 문장으로 의사를 표현할 수 있다</t>
    </r>
    <r>
      <rPr>
        <sz val="9"/>
        <rFont val="맑은 고딕"/>
        <family val="0"/>
        <charset val="1"/>
      </rPr>
      <t xml:space="preserve">.</t>
    </r>
  </si>
  <si>
    <t xml:space="preserve">S-2-4-1, S-2-4-2, S-2-4-3</t>
  </si>
  <si>
    <r>
      <rPr>
        <sz val="9"/>
        <rFont val="맑은 고딕"/>
        <family val="0"/>
        <charset val="1"/>
      </rPr>
      <t xml:space="preserve">S-2-4-1 </t>
    </r>
    <r>
      <rPr>
        <sz val="9"/>
        <rFont val="WenQuanYi Zen Hei"/>
        <family val="2"/>
      </rPr>
      <t xml:space="preserve">자신의 좋고 싫음을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우유가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
S-2-4-2 </t>
    </r>
    <r>
      <rPr>
        <sz val="9"/>
        <rFont val="WenQuanYi Zen Hei"/>
        <family val="2"/>
      </rPr>
      <t xml:space="preserve">원하는 활동을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공놀이를 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
S-2-4-3 </t>
    </r>
    <r>
      <rPr>
        <sz val="9"/>
        <rFont val="WenQuanYi Zen Hei"/>
        <family val="2"/>
      </rPr>
      <t xml:space="preserve">도움이 필요한 상황을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보건실에 가고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</si>
  <si>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저는 우유가 좋아요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공놀이를 하고 싶어요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보건실에 가고 싶어요
② 자신의 좋고 싫음을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우유가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원하는 활동을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공놀이를 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도움이 필요한 상황을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보건실에 가고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</si>
  <si>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</si>
  <si>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-10</t>
    </r>
  </si>
  <si>
    <t xml:space="preserve">띄어서 분명하게 말해요</t>
  </si>
  <si>
    <r>
      <rPr>
        <sz val="9"/>
        <rFont val="WenQuanYi Zen Hei"/>
        <family val="2"/>
      </rPr>
      <t xml:space="preserve">부정확하지만 이해할 수 있는 발음과 속도로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</si>
  <si>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부정확하지만 이해할 수 있는 발음과 속도로 말할 수 있다</t>
    </r>
    <r>
      <rPr>
        <sz val="9"/>
        <rFont val="맑은 고딕"/>
        <family val="0"/>
        <charset val="1"/>
      </rPr>
      <t xml:space="preserve">.</t>
    </r>
  </si>
  <si>
    <t xml:space="preserve">S-2-5-1, S-2-5-2</t>
  </si>
  <si>
    <r>
      <rPr>
        <sz val="9"/>
        <rFont val="맑은 고딕"/>
        <family val="0"/>
        <charset val="1"/>
      </rPr>
      <t xml:space="preserve">S-2-5-1 </t>
    </r>
    <r>
      <rPr>
        <sz val="9"/>
        <rFont val="WenQuanYi Zen Hei"/>
        <family val="2"/>
      </rPr>
      <t xml:space="preserve">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내 가방이예요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말할 때 낱말 사이를 자연스럽게 띄어 말한다</t>
    </r>
    <r>
      <rPr>
        <sz val="9"/>
        <rFont val="맑은 고딕"/>
        <family val="0"/>
        <charset val="1"/>
      </rPr>
      <t xml:space="preserve">.
S-2-5-2 </t>
    </r>
    <r>
      <rPr>
        <sz val="9"/>
        <rFont val="WenQuanYi Zen Hei"/>
        <family val="2"/>
      </rPr>
      <t xml:space="preserve">상대가 다시 물으면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같은 말을 조금 더 분명한 발음과 속도로 다시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</si>
  <si>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이것은 내 가방이예요
②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내 가방이예요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말할 때 낱말 사이를 자연스럽게 띄어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상대가 다시 물으면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같은 말을 조금 더 분명한 발음과 속도로 다시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S-2-5-1·S-2-5-2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</si>
  <si>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</si>
  <si>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</t>
    </r>
  </si>
  <si>
    <t xml:space="preserve">좋아하는 것과 까닭을 말해요</t>
  </si>
  <si>
    <r>
      <rPr>
        <sz val="9"/>
        <rFont val="WenQuanYi Zen Hei"/>
        <family val="2"/>
      </rPr>
      <t xml:space="preserve">관심사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좋아하는 것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</si>
  <si>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관심사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좋아하는 것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말할 수 있다</t>
    </r>
    <r>
      <rPr>
        <sz val="9"/>
        <rFont val="맑은 고딕"/>
        <family val="0"/>
        <charset val="1"/>
      </rPr>
      <t xml:space="preserve">.</t>
    </r>
  </si>
  <si>
    <t xml:space="preserve">S-3-1-1, S-3-1-2, S-3-1-3</t>
  </si>
  <si>
    <r>
      <rPr>
        <sz val="9"/>
        <rFont val="맑은 고딕"/>
        <family val="0"/>
        <charset val="1"/>
      </rPr>
      <t xml:space="preserve">S-3-1-1 </t>
    </r>
    <r>
      <rPr>
        <sz val="9"/>
        <rFont val="WenQuanYi Zen Hei"/>
        <family val="2"/>
      </rPr>
      <t xml:space="preserve">좋아하는 놀이와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딱지치기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숨바꼭질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실뜨기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좋아하는 캐릭터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영상 콘텐츠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말한다</t>
    </r>
    <r>
      <rPr>
        <sz val="9"/>
        <rFont val="맑은 고딕"/>
        <family val="0"/>
        <charset val="1"/>
      </rPr>
      <t xml:space="preserve">.
S-3-1-2 </t>
    </r>
    <r>
      <rPr>
        <sz val="9"/>
        <rFont val="WenQuanYi Zen Hei"/>
        <family val="2"/>
      </rPr>
      <t xml:space="preserve">좋아하는 음식과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짜장면은 맛있어요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말한다</t>
    </r>
    <r>
      <rPr>
        <sz val="9"/>
        <rFont val="맑은 고딕"/>
        <family val="0"/>
        <charset val="1"/>
      </rPr>
      <t xml:space="preserve">.
S-3-1-3 </t>
    </r>
    <r>
      <rPr>
        <sz val="9"/>
        <rFont val="WenQuanYi Zen Hei"/>
        <family val="2"/>
      </rPr>
      <t xml:space="preserve">좋아하는 계절과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봄은 따뜻해서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</si>
  <si>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딱지치기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숨바꼭질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실뜨기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좋아하는 캐릭터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
② 좋아하는 놀이와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딱지치기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숨바꼭질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실뜨기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좋아하는 캐릭터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영상 콘텐츠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좋아하는 음식과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짜장면은 맛있어요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좋아하는 계절과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봄은 따뜻해서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</si>
  <si>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</si>
  <si>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</t>
    </r>
  </si>
  <si>
    <t xml:space="preserve">주말에 한 일을 말해요</t>
  </si>
  <si>
    <r>
      <rPr>
        <sz val="9"/>
        <rFont val="WenQuanYi Zen Hei"/>
        <family val="2"/>
      </rPr>
      <t xml:space="preserve">일상생활에서 겪은 일에 관해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</si>
  <si>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일상생활에서 겪은 일에 관해 말할 수 있다</t>
    </r>
    <r>
      <rPr>
        <sz val="9"/>
        <rFont val="맑은 고딕"/>
        <family val="0"/>
        <charset val="1"/>
      </rPr>
      <t xml:space="preserve">.</t>
    </r>
  </si>
  <si>
    <t xml:space="preserve">S-3-2-1, S-3-2-2, S-3-2-3</t>
  </si>
  <si>
    <r>
      <rPr>
        <sz val="9"/>
        <rFont val="맑은 고딕"/>
        <family val="0"/>
        <charset val="1"/>
      </rPr>
      <t xml:space="preserve">S-3-2-1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시간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사용해 말한다</t>
    </r>
    <r>
      <rPr>
        <sz val="9"/>
        <rFont val="맑은 고딕"/>
        <family val="0"/>
        <charset val="1"/>
      </rPr>
      <t xml:space="preserve">.
S-3-2-2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나온 사람이나 장소를 포함해 말한다</t>
    </r>
    <r>
      <rPr>
        <sz val="9"/>
        <rFont val="맑은 고딕"/>
        <family val="0"/>
        <charset val="1"/>
      </rPr>
      <t xml:space="preserve">.
S-3-2-3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느낌을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</si>
  <si>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
② 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시간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사용해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나온 사람이나 장소를 포함해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느낌을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</si>
  <si>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</si>
  <si>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-13</t>
    </r>
  </si>
  <si>
    <t xml:space="preserve">수업 시간에 묻고 답해요</t>
  </si>
  <si>
    <r>
      <rPr>
        <sz val="9"/>
        <rFont val="WenQuanYi Zen Hei"/>
        <family val="2"/>
      </rPr>
      <t xml:space="preserve">수업에 참여하여 간단하게 질문하고 대답할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</si>
  <si>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 참여하여 간단하게 질문하고 대답할 수 있다</t>
    </r>
    <r>
      <rPr>
        <sz val="9"/>
        <rFont val="맑은 고딕"/>
        <family val="0"/>
        <charset val="1"/>
      </rPr>
      <t xml:space="preserve">.</t>
    </r>
  </si>
  <si>
    <t xml:space="preserve">S-3-3-1, S-3-3-2</t>
  </si>
  <si>
    <r>
      <rPr>
        <sz val="9"/>
        <rFont val="맑은 고딕"/>
        <family val="0"/>
        <charset val="1"/>
      </rPr>
      <t xml:space="preserve">S-3-3-1 </t>
    </r>
    <r>
      <rPr>
        <sz val="9"/>
        <rFont val="WenQuanYi Zen Hei"/>
        <family val="2"/>
      </rPr>
      <t xml:space="preserve">수업 내용 중 모르는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교과 어휘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모양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분리수거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질문한다</t>
    </r>
    <r>
      <rPr>
        <sz val="9"/>
        <rFont val="맑은 고딕"/>
        <family val="0"/>
        <charset val="1"/>
      </rPr>
      <t xml:space="preserve">.
S-3-3-2 </t>
    </r>
    <r>
      <rPr>
        <sz val="9"/>
        <rFont val="WenQuanYi Zen Hei"/>
        <family val="2"/>
      </rPr>
      <t xml:space="preserve">교사의 확인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모양이 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수업 내용과 관련된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동그라미 모양이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</si>
  <si>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교과 어휘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모양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분리수거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어떤 모양이 있나요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동그라미 모양이 있어요
② 수업 내용 중 모르는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교과 어휘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모양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분리수거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질문한다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교사의 확인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모양이 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수업 내용과 관련된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동그라미 모양이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S-3-3-1·S-3-3-2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</si>
  <si>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질문 만들어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상황 보고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</si>
  <si>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t xml:space="preserve">수업 참여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</si>
  <si>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-14</t>
    </r>
  </si>
  <si>
    <t xml:space="preserve">친구와 짧게 이야기해요</t>
  </si>
  <si>
    <r>
      <rPr>
        <sz val="9"/>
        <rFont val="WenQuanYi Zen Hei"/>
        <family val="2"/>
      </rPr>
      <t xml:space="preserve">간단한 문장을 활용하여 짧은 대화에 참여할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</si>
  <si>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간단한 문장을 활용하여 짧은 대화에 참여할 수 있다</t>
    </r>
    <r>
      <rPr>
        <sz val="9"/>
        <rFont val="맑은 고딕"/>
        <family val="0"/>
        <charset val="1"/>
      </rPr>
      <t xml:space="preserve">.</t>
    </r>
  </si>
  <si>
    <t xml:space="preserve">S-3-4-1, S-3-4-2</t>
  </si>
  <si>
    <r>
      <rPr>
        <sz val="9"/>
        <rFont val="맑은 고딕"/>
        <family val="0"/>
        <charset val="1"/>
      </rPr>
      <t xml:space="preserve">S-3-4-1 </t>
    </r>
    <r>
      <rPr>
        <sz val="9"/>
        <rFont val="WenQuanYi Zen Hei"/>
        <family val="2"/>
      </rPr>
      <t xml:space="preserve">좋아하는 것에 관한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딱지치기 할 줄 알아</t>
    </r>
    <r>
      <rPr>
        <sz val="9"/>
        <rFont val="맑은 고딕"/>
        <family val="0"/>
        <charset val="1"/>
      </rPr>
      <t xml:space="preserve">?/ </t>
    </r>
    <r>
      <rPr>
        <sz val="9"/>
        <rFont val="WenQuanYi Zen Hei"/>
        <family val="2"/>
      </rPr>
      <t xml:space="preserve">나 할 줄 알아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한다</t>
    </r>
    <r>
      <rPr>
        <sz val="9"/>
        <rFont val="맑은 고딕"/>
        <family val="0"/>
        <charset val="1"/>
      </rPr>
      <t xml:space="preserve">.
S-3-4-2 </t>
    </r>
    <r>
      <rPr>
        <sz val="9"/>
        <rFont val="WenQuanYi Zen Hei"/>
        <family val="2"/>
      </rPr>
      <t xml:space="preserve">상대의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난 짜장면을 좋아해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너는 뭘 좋아해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그 말에 맞는 반응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김밥을 좋아해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</si>
  <si>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딱지치기 할 줄 알아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나 할 줄 알아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난 짜장면을 좋아해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너는 뭘 좋아해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나는 김밥을 좋아해
② 좋아하는 것에 관한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딱지치기 할 줄 알아</t>
    </r>
    <r>
      <rPr>
        <sz val="9"/>
        <rFont val="맑은 고딕"/>
        <family val="0"/>
        <charset val="1"/>
      </rPr>
      <t xml:space="preserve">?/ </t>
    </r>
    <r>
      <rPr>
        <sz val="9"/>
        <rFont val="WenQuanYi Zen Hei"/>
        <family val="2"/>
      </rPr>
      <t xml:space="preserve">나 할 줄 알아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상대의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난 짜장면을 좋아해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너는 뭘 좋아해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그 말에 맞는 반응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김밥을 좋아해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 문장으로 …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S-3-4-1·S-3-4-2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</si>
  <si>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역할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상황 보고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</si>
  <si>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</si>
  <si>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-15</t>
    </r>
  </si>
  <si>
    <t xml:space="preserve">비슷한 소리를 구별해서 말해요</t>
  </si>
  <si>
    <r>
      <rPr>
        <sz val="9"/>
        <rFont val="WenQuanYi Zen Hei"/>
        <family val="2"/>
      </rPr>
      <t xml:space="preserve">비교적 정확한 발음으로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</si>
  <si>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비교적 정확한 발음으로 말할 수 있다</t>
    </r>
    <r>
      <rPr>
        <sz val="9"/>
        <rFont val="맑은 고딕"/>
        <family val="0"/>
        <charset val="1"/>
      </rPr>
      <t xml:space="preserve">.</t>
    </r>
  </si>
  <si>
    <t xml:space="preserve">S-3-5-1, S-3-5-2, S-3-5-3</t>
  </si>
  <si>
    <r>
      <rPr>
        <sz val="9"/>
        <rFont val="맑은 고딕"/>
        <family val="0"/>
        <charset val="1"/>
      </rPr>
      <t xml:space="preserve">S-3-5-1 </t>
    </r>
    <r>
      <rPr>
        <sz val="9"/>
        <rFont val="WenQuanYi Zen Hei"/>
        <family val="2"/>
      </rPr>
      <t xml:space="preserve">제시한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볼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달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구별되게 발음한다</t>
    </r>
    <r>
      <rPr>
        <sz val="9"/>
        <rFont val="맑은 고딕"/>
        <family val="0"/>
        <charset val="1"/>
      </rPr>
      <t xml:space="preserve">.
S-3-5-2 </t>
    </r>
    <r>
      <rPr>
        <sz val="9"/>
        <rFont val="WenQuanYi Zen Hei"/>
        <family val="2"/>
      </rPr>
      <t xml:space="preserve">문장을 말할 때 의미 단위로 끊어 말한다</t>
    </r>
    <r>
      <rPr>
        <sz val="9"/>
        <rFont val="맑은 고딕"/>
        <family val="0"/>
        <charset val="1"/>
      </rPr>
      <t xml:space="preserve">.(</t>
    </r>
    <r>
      <rPr>
        <sz val="9"/>
        <rFont val="WenQuanYi Zen Hei"/>
        <family val="2"/>
      </rPr>
      <t xml:space="preserve">키가 크고 눈이 커요</t>
    </r>
    <r>
      <rPr>
        <sz val="9"/>
        <rFont val="맑은 고딕"/>
        <family val="0"/>
        <charset val="1"/>
      </rPr>
      <t xml:space="preserve">. , </t>
    </r>
    <r>
      <rPr>
        <sz val="9"/>
        <rFont val="WenQuanYi Zen Hei"/>
        <family val="2"/>
      </rPr>
      <t xml:space="preserve">도서관에 가서 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
S-3-5-3 </t>
    </r>
    <r>
      <rPr>
        <sz val="9"/>
        <rFont val="WenQuanYi Zen Hei"/>
        <family val="2"/>
      </rPr>
      <t xml:space="preserve">상대가 알아듣기 어려워하면 발음이나 속도를 고쳐 다시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</si>
  <si>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볼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달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키가 크고 눈이 커요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도서관에 가서 책을 읽어요
② 제시한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볼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달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구별되게 발음한다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문장을 말할 때 의미 단위로 끊어 말한다</t>
    </r>
    <r>
      <rPr>
        <sz val="9"/>
        <rFont val="맑은 고딕"/>
        <family val="0"/>
        <charset val="1"/>
      </rPr>
      <t xml:space="preserve">.(</t>
    </r>
    <r>
      <rPr>
        <sz val="9"/>
        <rFont val="WenQuanYi Zen Hei"/>
        <family val="2"/>
      </rPr>
      <t xml:space="preserve">키가 크고 눈이 커요</t>
    </r>
    <r>
      <rPr>
        <sz val="9"/>
        <rFont val="맑은 고딕"/>
        <family val="0"/>
        <charset val="1"/>
      </rPr>
      <t xml:space="preserve">. , </t>
    </r>
    <r>
      <rPr>
        <sz val="9"/>
        <rFont val="WenQuanYi Zen Hei"/>
        <family val="2"/>
      </rPr>
      <t xml:space="preserve">도서관에 가서 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상대가 알아듣기 어려워하면 발음이나 속도를 고쳐 다시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</si>
  <si>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따라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 비교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상황 보고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</si>
  <si>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</si>
  <si>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-16</t>
    </r>
  </si>
  <si>
    <t xml:space="preserve">가족과 친구를 소개해요</t>
  </si>
  <si>
    <r>
      <rPr>
        <sz val="9"/>
        <rFont val="WenQuanYi Zen Hei"/>
        <family val="2"/>
      </rPr>
      <t xml:space="preserve">친숙한 주제에 관해 간단하게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</si>
  <si>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주제에 관해 간단하게 말할 수 있다</t>
    </r>
    <r>
      <rPr>
        <sz val="9"/>
        <rFont val="맑은 고딕"/>
        <family val="0"/>
        <charset val="1"/>
      </rPr>
      <t xml:space="preserve">.</t>
    </r>
  </si>
  <si>
    <t xml:space="preserve">S-4-1-1, S-4-1-2</t>
  </si>
  <si>
    <r>
      <rPr>
        <sz val="9"/>
        <rFont val="맑은 고딕"/>
        <family val="0"/>
        <charset val="1"/>
      </rPr>
      <t xml:space="preserve">S-4-1-1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소개나 발표를 한다</t>
    </r>
    <r>
      <rPr>
        <sz val="9"/>
        <rFont val="맑은 고딕"/>
        <family val="0"/>
        <charset val="1"/>
      </rPr>
      <t xml:space="preserve">.
S-4-1-2 </t>
    </r>
    <r>
      <rPr>
        <sz val="9"/>
        <rFont val="WenQuanYi Zen Hei"/>
        <family val="2"/>
      </rPr>
      <t xml:space="preserve">그림이나 사진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운동 경기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날씨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자연 사진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보며 관련된 정보를 두 가지 이상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</si>
  <si>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 경기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사진
② 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소개나 발표를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그림이나 사진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운동 경기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날씨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자연 사진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보며 관련된 정보를 두 가지 이상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S-4-1-1·S-4-1-2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</si>
  <si>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발표 틀 채워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상황 보고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</si>
  <si>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-13,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</si>
  <si>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</t>
    </r>
  </si>
  <si>
    <t xml:space="preserve">친구들에게 준비물을 알려 줘요</t>
  </si>
  <si>
    <r>
      <rPr>
        <sz val="9"/>
        <rFont val="WenQuanYi Zen Hei"/>
        <family val="2"/>
      </rPr>
      <t xml:space="preserve">친구들에게 정보를 알리는 말을 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</si>
  <si>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친구들에게 정보를 알리는 말을 할 수 있다</t>
    </r>
    <r>
      <rPr>
        <sz val="9"/>
        <rFont val="맑은 고딕"/>
        <family val="0"/>
        <charset val="1"/>
      </rPr>
      <t xml:space="preserve">.</t>
    </r>
  </si>
  <si>
    <t xml:space="preserve">S-4-2-1, S-4-2-2, S-4-2-3</t>
  </si>
  <si>
    <r>
      <rPr>
        <sz val="9"/>
        <rFont val="맑은 고딕"/>
        <family val="0"/>
        <charset val="1"/>
      </rPr>
      <t xml:space="preserve">S-4-2-1 </t>
    </r>
    <r>
      <rPr>
        <sz val="9"/>
        <rFont val="WenQuanYi Zen Hei"/>
        <family val="2"/>
      </rPr>
      <t xml:space="preserve">학교 생활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학급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현장체험학습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도시락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필기 도구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친구에게 알린다</t>
    </r>
    <r>
      <rPr>
        <sz val="9"/>
        <rFont val="맑은 고딕"/>
        <family val="0"/>
        <charset val="1"/>
      </rPr>
      <t xml:space="preserve">.
S-4-2-2 </t>
    </r>
    <r>
      <rPr>
        <sz val="9"/>
        <rFont val="WenQuanYi Zen Hei"/>
        <family val="2"/>
      </rPr>
      <t xml:space="preserve">친구에게 학교 생활에 관한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식단표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숙제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알린다</t>
    </r>
    <r>
      <rPr>
        <sz val="9"/>
        <rFont val="맑은 고딕"/>
        <family val="0"/>
        <charset val="1"/>
      </rPr>
      <t xml:space="preserve">.
S-4-2-3 </t>
    </r>
    <r>
      <rPr>
        <sz val="9"/>
        <rFont val="WenQuanYi Zen Hei"/>
        <family val="2"/>
      </rPr>
      <t xml:space="preserve">친구에게 일상생활에서 지켜야 할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공공장소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학급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교통 규칙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알린다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</si>
  <si>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학급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도시락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
② 학교 생활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학급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현장체험학습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도시락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필기 도구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친구에게 알린다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친구에게 학교 생활에 관한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식단표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숙제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알린다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친구에게 일상생활에서 지켜야 할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공공장소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학급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교통 규칙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알린다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</si>
  <si>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-14,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</si>
  <si>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-18</t>
    </r>
  </si>
  <si>
    <t xml:space="preserve">내 생각을 발표해요</t>
  </si>
  <si>
    <r>
      <rPr>
        <sz val="9"/>
        <rFont val="WenQuanYi Zen Hei"/>
        <family val="2"/>
      </rPr>
      <t xml:space="preserve">수업에서 자신의 생각을 간단하게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</si>
  <si>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수업에서 자신의 생각을 간단하게 말할 수 있다</t>
    </r>
    <r>
      <rPr>
        <sz val="9"/>
        <rFont val="맑은 고딕"/>
        <family val="0"/>
        <charset val="1"/>
      </rPr>
      <t xml:space="preserve">.</t>
    </r>
  </si>
  <si>
    <t xml:space="preserve">S-4-3-1, S-4-3-2, S-4-3-3</t>
  </si>
  <si>
    <r>
      <rPr>
        <sz val="9"/>
        <rFont val="맑은 고딕"/>
        <family val="0"/>
        <charset val="1"/>
      </rPr>
      <t xml:space="preserve">S-4-3-1 </t>
    </r>
    <r>
      <rPr>
        <sz val="9"/>
        <rFont val="WenQuanYi Zen Hei"/>
        <family val="2"/>
      </rPr>
      <t xml:space="preserve">수업 주제에 대해 발표</t>
    </r>
    <r>
      <rPr>
        <sz val="9"/>
        <rFont val="맑은 고딕"/>
        <family val="0"/>
        <charset val="1"/>
      </rPr>
      <t xml:space="preserve">( “</t>
    </r>
    <r>
      <rPr>
        <sz val="9"/>
        <rFont val="WenQuanYi Zen Hei"/>
        <family val="2"/>
      </rPr>
      <t xml:space="preserve">제 생각은 ○○입니다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자신의 생각을 말한다</t>
    </r>
    <r>
      <rPr>
        <sz val="9"/>
        <rFont val="맑은 고딕"/>
        <family val="0"/>
        <charset val="1"/>
      </rPr>
      <t xml:space="preserve">.
S-4-3-2 </t>
    </r>
    <r>
      <rPr>
        <sz val="9"/>
        <rFont val="WenQuanYi Zen Hei"/>
        <family val="2"/>
      </rPr>
      <t xml:space="preserve">이유나 근거를 들어 발표</t>
    </r>
    <r>
      <rPr>
        <sz val="9"/>
        <rFont val="맑은 고딕"/>
        <family val="0"/>
        <charset val="1"/>
      </rPr>
      <t xml:space="preserve">(“</t>
    </r>
    <r>
      <rPr>
        <sz val="9"/>
        <rFont val="WenQuanYi Zen Hei"/>
        <family val="2"/>
      </rPr>
      <t xml:space="preserve">왜냐하면 ○○이기 때문입니다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자신의 생각을 말한다</t>
    </r>
    <r>
      <rPr>
        <sz val="9"/>
        <rFont val="맑은 고딕"/>
        <family val="0"/>
        <charset val="1"/>
      </rPr>
      <t xml:space="preserve">.
S-4-3-3 </t>
    </r>
    <r>
      <rPr>
        <sz val="9"/>
        <rFont val="WenQuanYi Zen Hei"/>
        <family val="2"/>
      </rPr>
      <t xml:space="preserve">그림이나 이야기 속 인물의 행동에 대해 자신의 생각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제 생각에 ○○이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 거짓말을 말한 것은 나쁘다고 생각합니다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</si>
  <si>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“</t>
    </r>
    <r>
      <rPr>
        <sz val="9"/>
        <rFont val="WenQuanYi Zen Hei"/>
        <family val="2"/>
      </rPr>
      <t xml:space="preserve">제 생각은 ○○입니다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왜냐하면 ○○이기 때문입니다</t>
    </r>
    <r>
      <rPr>
        <sz val="9"/>
        <rFont val="맑은 고딕"/>
        <family val="0"/>
        <charset val="1"/>
      </rPr>
      <t xml:space="preserve">.”, "</t>
    </r>
    <r>
      <rPr>
        <sz val="9"/>
        <rFont val="WenQuanYi Zen Hei"/>
        <family val="2"/>
      </rPr>
      <t xml:space="preserve">제 생각에 ○○이
② 수업 주제에 대해 발표</t>
    </r>
    <r>
      <rPr>
        <sz val="9"/>
        <rFont val="맑은 고딕"/>
        <family val="0"/>
        <charset val="1"/>
      </rPr>
      <t xml:space="preserve">( “</t>
    </r>
    <r>
      <rPr>
        <sz val="9"/>
        <rFont val="WenQuanYi Zen Hei"/>
        <family val="2"/>
      </rPr>
      <t xml:space="preserve">제 생각은 ○○입니다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자신의 생각을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이유나 근거를 들어 발표</t>
    </r>
    <r>
      <rPr>
        <sz val="9"/>
        <rFont val="맑은 고딕"/>
        <family val="0"/>
        <charset val="1"/>
      </rPr>
      <t xml:space="preserve">(“</t>
    </r>
    <r>
      <rPr>
        <sz val="9"/>
        <rFont val="WenQuanYi Zen Hei"/>
        <family val="2"/>
      </rPr>
      <t xml:space="preserve">왜냐하면 ○○이기 때문입니다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자신의 생각을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그림이나 이야기 속 인물의 행동에 대해 자신의 생각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제 생각에 ○○이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 거짓말을 말한 것은 나쁘다고 생…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</si>
  <si>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</si>
  <si>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-19</t>
    </r>
  </si>
  <si>
    <t xml:space="preserve">이야기를 주고받으며 대화해요</t>
  </si>
  <si>
    <r>
      <rPr>
        <sz val="9"/>
        <rFont val="WenQuanYi Zen Hei"/>
        <family val="2"/>
      </rPr>
      <t xml:space="preserve">다소 긴 대화에 자연스럽게 참여할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</si>
  <si>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다소 긴 대화에 자연스럽게 참여할 수 있다</t>
    </r>
    <r>
      <rPr>
        <sz val="9"/>
        <rFont val="맑은 고딕"/>
        <family val="0"/>
        <charset val="1"/>
      </rPr>
      <t xml:space="preserve">.</t>
    </r>
  </si>
  <si>
    <t xml:space="preserve">S-4-4-1, S-4-4-2, S-4-4-3</t>
  </si>
  <si>
    <r>
      <rPr>
        <sz val="9"/>
        <rFont val="맑은 고딕"/>
        <family val="0"/>
        <charset val="1"/>
      </rPr>
      <t xml:space="preserve">S-4-4-1 </t>
    </r>
    <r>
      <rPr>
        <sz val="9"/>
        <rFont val="WenQuanYi Zen Hei"/>
        <family val="2"/>
      </rPr>
      <t xml:space="preserve">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자연 환경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명절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대화에서 질문과 대답을 두 차례 이상 주고받는다</t>
    </r>
    <r>
      <rPr>
        <sz val="9"/>
        <rFont val="맑은 고딕"/>
        <family val="0"/>
        <charset val="1"/>
      </rPr>
      <t xml:space="preserve">.
S-4-4-2 </t>
    </r>
    <r>
      <rPr>
        <sz val="9"/>
        <rFont val="WenQuanYi Zen Hei"/>
        <family val="2"/>
      </rPr>
      <t xml:space="preserve">상대의 말을 듣고 맞장구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맞아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나도 그래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확인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정말 그랬어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사용한다</t>
    </r>
    <r>
      <rPr>
        <sz val="9"/>
        <rFont val="맑은 고딕"/>
        <family val="0"/>
        <charset val="1"/>
      </rPr>
      <t xml:space="preserve">.
S-4-4-3 </t>
    </r>
    <r>
      <rPr>
        <sz val="9"/>
        <rFont val="WenQuanYi Zen Hei"/>
        <family val="2"/>
      </rPr>
      <t xml:space="preserve">대화 중 모르는 말을 들으면 되묻거나 설명</t>
    </r>
    <r>
      <rPr>
        <sz val="9"/>
        <rFont val="맑은 고딕"/>
        <family val="0"/>
        <charset val="1"/>
      </rPr>
      <t xml:space="preserve">(○○</t>
    </r>
    <r>
      <rPr>
        <sz val="9"/>
        <rFont val="WenQuanYi Zen Hei"/>
        <family val="2"/>
      </rPr>
      <t xml:space="preserve">이 무슨 뜻이야</t>
    </r>
    <r>
      <rPr>
        <sz val="9"/>
        <rFont val="맑은 고딕"/>
        <family val="0"/>
        <charset val="1"/>
      </rPr>
      <t xml:space="preserve">? / ○○</t>
    </r>
    <r>
      <rPr>
        <sz val="9"/>
        <rFont val="WenQuanYi Zen Hei"/>
        <family val="2"/>
      </rPr>
      <t xml:space="preserve">는 이런 뜻이야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</si>
  <si>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자연 환경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명절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나도 그래
②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자연 환경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명절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대화에서 질문과 대답을 두 차례 이상 주고받는다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상대의 말을 듣고 맞장구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맞아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나도 그래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확인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정말 그랬어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대화 중 모르는 말을 들으면 되묻거나 설명</t>
    </r>
    <r>
      <rPr>
        <sz val="9"/>
        <rFont val="맑은 고딕"/>
        <family val="0"/>
        <charset val="1"/>
      </rPr>
      <t xml:space="preserve">(○○</t>
    </r>
    <r>
      <rPr>
        <sz val="9"/>
        <rFont val="WenQuanYi Zen Hei"/>
        <family val="2"/>
      </rPr>
      <t xml:space="preserve">이 무슨 뜻이야</t>
    </r>
    <r>
      <rPr>
        <sz val="9"/>
        <rFont val="맑은 고딕"/>
        <family val="0"/>
        <charset val="1"/>
      </rPr>
      <t xml:space="preserve">? / ○○</t>
    </r>
    <r>
      <rPr>
        <sz val="9"/>
        <rFont val="WenQuanYi Zen Hei"/>
        <family val="2"/>
      </rPr>
      <t xml:space="preserve">는 이런 뜻이야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</si>
  <si>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역할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</si>
  <si>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t xml:space="preserve">대화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</si>
  <si>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-20</t>
    </r>
  </si>
  <si>
    <t xml:space="preserve">상대에 맞게 높임말을 써요</t>
  </si>
  <si>
    <r>
      <rPr>
        <sz val="9"/>
        <rFont val="WenQuanYi Zen Hei"/>
        <family val="2"/>
      </rPr>
      <t xml:space="preserve">대화 상대를 고려하여 어느 정도 자연스럽게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</si>
  <si>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 상대를 고려하여 어느 정도 자연스럽게 말할 수 있다</t>
    </r>
    <r>
      <rPr>
        <sz val="9"/>
        <rFont val="맑은 고딕"/>
        <family val="0"/>
        <charset val="1"/>
      </rPr>
      <t xml:space="preserve">.</t>
    </r>
  </si>
  <si>
    <t xml:space="preserve">S-4-5-1, S-4-5-2, S-4-5-3</t>
  </si>
  <si>
    <r>
      <rPr>
        <sz val="9"/>
        <rFont val="맑은 고딕"/>
        <family val="0"/>
        <charset val="1"/>
      </rPr>
      <t xml:space="preserve">S-4-5-1 </t>
    </r>
    <r>
      <rPr>
        <sz val="9"/>
        <rFont val="WenQuanYi Zen Hei"/>
        <family val="2"/>
      </rPr>
      <t xml:space="preserve">대상에 따라 높임말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평어 </t>
    </r>
    <r>
      <rPr>
        <sz val="9"/>
        <rFont val="맑은 고딕"/>
        <family val="0"/>
        <charset val="1"/>
      </rPr>
      <t xml:space="preserve">(“~</t>
    </r>
    <r>
      <rPr>
        <sz val="9"/>
        <rFont val="WenQuanYi Zen Hei"/>
        <family val="2"/>
      </rPr>
      <t xml:space="preserve">주세요</t>
    </r>
    <r>
      <rPr>
        <sz val="9"/>
        <rFont val="맑은 고딕"/>
        <family val="0"/>
        <charset val="1"/>
      </rPr>
      <t xml:space="preserve">.”, “~</t>
    </r>
    <r>
      <rPr>
        <sz val="9"/>
        <rFont val="WenQuanYi Zen Hei"/>
        <family val="2"/>
      </rPr>
      <t xml:space="preserve">해 주세요</t>
    </r>
    <r>
      <rPr>
        <sz val="9"/>
        <rFont val="맑은 고딕"/>
        <family val="0"/>
        <charset val="1"/>
      </rPr>
      <t xml:space="preserve">.” , "</t>
    </r>
    <r>
      <rPr>
        <sz val="9"/>
        <rFont val="WenQuanYi Zen Hei"/>
        <family val="2"/>
      </rPr>
      <t xml:space="preserve">괜찮아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같이 하자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사용하여 말한다</t>
    </r>
    <r>
      <rPr>
        <sz val="9"/>
        <rFont val="맑은 고딕"/>
        <family val="0"/>
        <charset val="1"/>
      </rPr>
      <t xml:space="preserve">.
S-4-5-2 </t>
    </r>
    <r>
      <rPr>
        <sz val="9"/>
        <rFont val="WenQuanYi Zen Hei"/>
        <family val="2"/>
      </rPr>
      <t xml:space="preserve">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고마운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미안한 상황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따라 알맞은 표현을 사용한다</t>
    </r>
    <r>
      <rPr>
        <sz val="9"/>
        <rFont val="맑은 고딕"/>
        <family val="0"/>
        <charset val="1"/>
      </rPr>
      <t xml:space="preserve">.
S-4-5-3 </t>
    </r>
    <r>
      <rPr>
        <sz val="9"/>
        <rFont val="WenQuanYi Zen Hei"/>
        <family val="2"/>
      </rPr>
      <t xml:space="preserve">발표나 대화에서 상대가 들을 수 있는 크기와 속도로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</si>
  <si>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“~</t>
    </r>
    <r>
      <rPr>
        <sz val="9"/>
        <rFont val="WenQuanYi Zen Hei"/>
        <family val="2"/>
      </rPr>
      <t xml:space="preserve">주세요</t>
    </r>
    <r>
      <rPr>
        <sz val="9"/>
        <rFont val="맑은 고딕"/>
        <family val="0"/>
        <charset val="1"/>
      </rPr>
      <t xml:space="preserve">.”, “~</t>
    </r>
    <r>
      <rPr>
        <sz val="9"/>
        <rFont val="WenQuanYi Zen Hei"/>
        <family val="2"/>
      </rPr>
      <t xml:space="preserve">해 주세요</t>
    </r>
    <r>
      <rPr>
        <sz val="9"/>
        <rFont val="맑은 고딕"/>
        <family val="0"/>
        <charset val="1"/>
      </rPr>
      <t xml:space="preserve">.”, "</t>
    </r>
    <r>
      <rPr>
        <sz val="9"/>
        <rFont val="WenQuanYi Zen Hei"/>
        <family val="2"/>
      </rPr>
      <t xml:space="preserve">괜찮아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같이 하자</t>
    </r>
    <r>
      <rPr>
        <sz val="9"/>
        <rFont val="맑은 고딕"/>
        <family val="0"/>
        <charset val="1"/>
      </rPr>
      <t xml:space="preserve">.", </t>
    </r>
    <r>
      <rPr>
        <sz val="9"/>
        <rFont val="WenQuanYi Zen Hei"/>
        <family val="2"/>
      </rPr>
      <t xml:space="preserve">고마운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미안한 상황
② 대상에 따라 높임말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평어 </t>
    </r>
    <r>
      <rPr>
        <sz val="9"/>
        <rFont val="맑은 고딕"/>
        <family val="0"/>
        <charset val="1"/>
      </rPr>
      <t xml:space="preserve">(“~</t>
    </r>
    <r>
      <rPr>
        <sz val="9"/>
        <rFont val="WenQuanYi Zen Hei"/>
        <family val="2"/>
      </rPr>
      <t xml:space="preserve">주세요</t>
    </r>
    <r>
      <rPr>
        <sz val="9"/>
        <rFont val="맑은 고딕"/>
        <family val="0"/>
        <charset val="1"/>
      </rPr>
      <t xml:space="preserve">.”, “~</t>
    </r>
    <r>
      <rPr>
        <sz val="9"/>
        <rFont val="WenQuanYi Zen Hei"/>
        <family val="2"/>
      </rPr>
      <t xml:space="preserve">해 주세요</t>
    </r>
    <r>
      <rPr>
        <sz val="9"/>
        <rFont val="맑은 고딕"/>
        <family val="0"/>
        <charset val="1"/>
      </rPr>
      <t xml:space="preserve">.” , "</t>
    </r>
    <r>
      <rPr>
        <sz val="9"/>
        <rFont val="WenQuanYi Zen Hei"/>
        <family val="2"/>
      </rPr>
      <t xml:space="preserve">괜찮아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같이 하자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사용하여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고마운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미안한 상황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따라 알맞은 표현을 사용한다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발표나 대화에서 상대가 들을 수 있는 크기와 속도로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</si>
  <si>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상황 보고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따라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 비교</t>
    </r>
    <r>
      <rPr>
        <sz val="9"/>
        <rFont val="맑은 고딕"/>
        <family val="0"/>
        <charset val="1"/>
      </rPr>
      <t xml:space="preserve">)</t>
    </r>
  </si>
  <si>
    <t xml:space="preserve">높임말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</si>
  <si>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</t>
    </r>
  </si>
  <si>
    <t xml:space="preserve">글자와 낱말을 소리 내어 읽어요</t>
  </si>
  <si>
    <r>
      <rPr>
        <sz val="9"/>
        <rFont val="WenQuanYi Zen Hei"/>
        <family val="2"/>
      </rPr>
      <t xml:space="preserve">글자와 단어를 소리 내어 읽을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</si>
  <si>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글자와 단어를 소리 내어 읽을 수 있다</t>
    </r>
    <r>
      <rPr>
        <sz val="9"/>
        <rFont val="맑은 고딕"/>
        <family val="0"/>
        <charset val="1"/>
      </rPr>
      <t xml:space="preserve">.</t>
    </r>
  </si>
  <si>
    <t xml:space="preserve">R-1-1-1, R-1-1-2, R-1-1-3</t>
  </si>
  <si>
    <r>
      <rPr>
        <sz val="9"/>
        <rFont val="맑은 고딕"/>
        <family val="0"/>
        <charset val="1"/>
      </rPr>
      <t xml:space="preserve">R-1-1-1 </t>
    </r>
    <r>
      <rPr>
        <sz val="9"/>
        <rFont val="WenQuanYi Zen Hei"/>
        <family val="2"/>
      </rPr>
      <t xml:space="preserve">자음과 모음이 결합된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소리 내어 읽는다</t>
    </r>
    <r>
      <rPr>
        <sz val="9"/>
        <rFont val="맑은 고딕"/>
        <family val="0"/>
        <charset val="1"/>
      </rPr>
      <t xml:space="preserve">.
R-1-1-2 </t>
    </r>
    <r>
      <rPr>
        <sz val="9"/>
        <rFont val="WenQuanYi Zen Hei"/>
        <family val="2"/>
      </rPr>
      <t xml:space="preserve">그림과 함께 제시된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소리 내어 읽는다</t>
    </r>
    <r>
      <rPr>
        <sz val="9"/>
        <rFont val="맑은 고딕"/>
        <family val="0"/>
        <charset val="1"/>
      </rPr>
      <t xml:space="preserve">.
R-1-1-3 </t>
    </r>
    <r>
      <rPr>
        <sz val="9"/>
        <rFont val="WenQuanYi Zen Hei"/>
        <family val="2"/>
      </rPr>
      <t xml:space="preserve">교실에서 자주 보는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</si>
  <si>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
② 자음과 모음이 결합된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소리 내어 읽는다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그림과 함께 제시된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소리 내어 읽는다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교실에서 자주 보는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</si>
  <si>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따라 읽기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</si>
  <si>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</si>
  <si>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따라 읽기 녹음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낱말 음성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</si>
  <si>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-02</t>
    </r>
  </si>
  <si>
    <t xml:space="preserve">낱말을 읽고 그림과 연결해요</t>
  </si>
  <si>
    <r>
      <rPr>
        <sz val="9"/>
        <rFont val="WenQuanYi Zen Hei"/>
        <family val="2"/>
      </rPr>
      <t xml:space="preserve">짧고 쉬운 단어를 읽고 의미를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</si>
  <si>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짧고 쉬운 단어를 읽고 의미를 이해할 수 있다</t>
    </r>
    <r>
      <rPr>
        <sz val="9"/>
        <rFont val="맑은 고딕"/>
        <family val="0"/>
        <charset val="1"/>
      </rPr>
      <t xml:space="preserve">.</t>
    </r>
  </si>
  <si>
    <t xml:space="preserve">R-1-2-1, R-1-2-2</t>
  </si>
  <si>
    <r>
      <rPr>
        <sz val="9"/>
        <rFont val="맑은 고딕"/>
        <family val="0"/>
        <charset val="1"/>
      </rPr>
      <t xml:space="preserve">R-1-2-1 </t>
    </r>
    <r>
      <rPr>
        <sz val="9"/>
        <rFont val="WenQuanYi Zen Hei"/>
        <family val="2"/>
      </rPr>
      <t xml:space="preserve">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강아지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해당하는 그림이나 실물을 연결한다</t>
    </r>
    <r>
      <rPr>
        <sz val="9"/>
        <rFont val="맑은 고딕"/>
        <family val="0"/>
        <charset val="1"/>
      </rPr>
      <t xml:space="preserve">.
R-1-2-2 </t>
    </r>
    <r>
      <rPr>
        <sz val="9"/>
        <rFont val="WenQuanYi Zen Hei"/>
        <family val="2"/>
      </rPr>
      <t xml:space="preserve">교실 물건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해당 물건에 사물 이름표를 붙인다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</si>
  <si>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강아지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
② 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강아지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해당하는 그림이나 실물을 연결한다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교실 물건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해당 물건에 사물 이름표를 붙인다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R-1-2-1·R-1-2-2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</si>
  <si>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선 잇기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이름표 붙이기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</si>
  <si>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-04</t>
    </r>
  </si>
  <si>
    <t xml:space="preserve">낱말 음성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</si>
  <si>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-03</t>
    </r>
  </si>
  <si>
    <t xml:space="preserve">학교 안내판을 읽어요</t>
  </si>
  <si>
    <r>
      <rPr>
        <sz val="9"/>
        <rFont val="WenQuanYi Zen Hei"/>
        <family val="2"/>
      </rPr>
      <t xml:space="preserve">생활에서 사용하는 간단한 안내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간판 등을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</si>
  <si>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생활에서 사용하는 간단한 안내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간판 등을 이해할 수 있다</t>
    </r>
    <r>
      <rPr>
        <sz val="9"/>
        <rFont val="맑은 고딕"/>
        <family val="0"/>
        <charset val="1"/>
      </rPr>
      <t xml:space="preserve">.</t>
    </r>
  </si>
  <si>
    <t xml:space="preserve">R-1-3-1, R-1-3-2, R-1-3-3</t>
  </si>
  <si>
    <r>
      <rPr>
        <sz val="9"/>
        <rFont val="맑은 고딕"/>
        <family val="0"/>
        <charset val="1"/>
      </rPr>
      <t xml:space="preserve">R-1-3-1 </t>
    </r>
    <r>
      <rPr>
        <sz val="9"/>
        <rFont val="WenQuanYi Zen Hei"/>
        <family val="2"/>
      </rPr>
      <t xml:space="preserve">표지판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간판에 쓰여진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해당 장소를 가리키거나 이동한다</t>
    </r>
    <r>
      <rPr>
        <sz val="9"/>
        <rFont val="맑은 고딕"/>
        <family val="0"/>
        <charset val="1"/>
      </rPr>
      <t xml:space="preserve">.
R-1-3-2 </t>
    </r>
    <r>
      <rPr>
        <sz val="9"/>
        <rFont val="WenQuanYi Zen Hei"/>
        <family val="2"/>
      </rPr>
      <t xml:space="preserve">생활 규칙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줄 서기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손 씻기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해야 할 행동을 짧은 말이나 몸짓으로 나타낸다</t>
    </r>
    <r>
      <rPr>
        <sz val="9"/>
        <rFont val="맑은 고딕"/>
        <family val="0"/>
        <charset val="1"/>
      </rPr>
      <t xml:space="preserve">.
R-1-3-3 </t>
    </r>
    <r>
      <rPr>
        <sz val="9"/>
        <rFont val="WenQuanYi Zen Hei"/>
        <family val="2"/>
      </rPr>
      <t xml:space="preserve">신발장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사물함 등에 붙은 이름표를 읽고 자신의 자리를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</si>
  <si>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 서기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손 씻기
② 표지판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간판에 쓰여진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해당 장소를 가리키거나 이동한다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생활 규칙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줄 서기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손 씻기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해야 할 행동을 짧은 말이나 몸짓으로 나타낸다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신발장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사물함 등에 붙은 이름표를 읽고 자신의 자리를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</si>
  <si>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읽고 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고르기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선 잇기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이름표 붙이기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</si>
  <si>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-08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</si>
  <si>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</t>
    </r>
  </si>
  <si>
    <t xml:space="preserve">받침을 살펴 바르게 읽어요</t>
  </si>
  <si>
    <r>
      <rPr>
        <sz val="9"/>
        <rFont val="WenQuanYi Zen Hei"/>
        <family val="2"/>
      </rPr>
      <t xml:space="preserve">한글 자음과 모음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받침 등 글자를 식별하여 읽을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</si>
  <si>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한글 자음과 모음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받침 등 글자를 식별하여 읽을 수 있다</t>
    </r>
    <r>
      <rPr>
        <sz val="9"/>
        <rFont val="맑은 고딕"/>
        <family val="0"/>
        <charset val="1"/>
      </rPr>
      <t xml:space="preserve">.</t>
    </r>
  </si>
  <si>
    <t xml:space="preserve">R-1-4-1, R-1-4-2, R-1-4-3</t>
  </si>
  <si>
    <r>
      <rPr>
        <sz val="9"/>
        <rFont val="맑은 고딕"/>
        <family val="0"/>
        <charset val="1"/>
      </rPr>
      <t xml:space="preserve">R-1-4-1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모음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중 고르기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들어간 글자를 골라 읽는다</t>
    </r>
    <r>
      <rPr>
        <sz val="9"/>
        <rFont val="맑은 고딕"/>
        <family val="0"/>
        <charset val="1"/>
      </rPr>
      <t xml:space="preserve">.
R-1-4-2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자음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자과 중 고르기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들어간 글자를 골라 읽는다</t>
    </r>
    <r>
      <rPr>
        <sz val="9"/>
        <rFont val="맑은 고딕"/>
        <family val="0"/>
        <charset val="1"/>
      </rPr>
      <t xml:space="preserve">.
R-1-4-3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받침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문병 중 고르기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들어간 글자를 골라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</si>
  <si>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중 고르기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자과 중 고르기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문병 중 고르기
②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모음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중 고르기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들어간 글자를 골라 읽는다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자음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자과 중 고르기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들어간 글자를 골라 읽는다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받침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문병 중 고르기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들어간 글자를 골라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</si>
  <si>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</si>
  <si>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</t>
    </r>
  </si>
  <si>
    <t xml:space="preserve">띄어서 문장을 읽어요</t>
  </si>
  <si>
    <r>
      <rPr>
        <sz val="9"/>
        <rFont val="WenQuanYi Zen Hei"/>
        <family val="2"/>
      </rPr>
      <t xml:space="preserve">문장을 알맞게 띄어 읽을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</si>
  <si>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문장을 알맞게 띄어 읽을 수 있다</t>
    </r>
    <r>
      <rPr>
        <sz val="9"/>
        <rFont val="맑은 고딕"/>
        <family val="0"/>
        <charset val="1"/>
      </rPr>
      <t xml:space="preserve">.</t>
    </r>
  </si>
  <si>
    <t xml:space="preserve">R-2-1-1, R-2-1-2</t>
  </si>
  <si>
    <r>
      <rPr>
        <sz val="9"/>
        <rFont val="맑은 고딕"/>
        <family val="0"/>
        <charset val="1"/>
      </rPr>
      <t xml:space="preserve">R-2-1-1 </t>
    </r>
    <r>
      <rPr>
        <sz val="9"/>
        <rFont val="WenQuanYi Zen Hei"/>
        <family val="2"/>
      </rPr>
      <t xml:space="preserve">표시한 쉬는 곳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맞추어 짧은 문장을 띄어 읽는다</t>
    </r>
    <r>
      <rPr>
        <sz val="9"/>
        <rFont val="맑은 고딕"/>
        <family val="0"/>
        <charset val="1"/>
      </rPr>
      <t xml:space="preserve">.
R-2-1-2 </t>
    </r>
    <r>
      <rPr>
        <sz val="9"/>
        <rFont val="WenQuanYi Zen Hei"/>
        <family val="2"/>
      </rPr>
      <t xml:space="preserve">두세 어절로 된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우유를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운동장에서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집에서 숙제를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낱말 사이에서 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</si>
  <si>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우유를 마셔요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운동장에서 놀아요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집에서 숙제를 해요
② 표시한 쉬는 곳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맞추어 짧은 문장을 띄어 읽는다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두세 어절로 된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우유를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운동장에서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집에서 숙제를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낱말 사이에서 띄어 읽는다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R-2-1-1·R-2-1-2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</si>
  <si>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선 잇기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이름표 붙이기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끊어 읽기 표시</t>
    </r>
    <r>
      <rPr>
        <sz val="9"/>
        <rFont val="맑은 고딕"/>
        <family val="0"/>
        <charset val="1"/>
      </rPr>
      <t xml:space="preserve">(v </t>
    </r>
    <r>
      <rPr>
        <sz val="9"/>
        <rFont val="WenQuanYi Zen Hei"/>
        <family val="2"/>
      </rPr>
      <t xml:space="preserve">넣기</t>
    </r>
    <r>
      <rPr>
        <sz val="9"/>
        <rFont val="맑은 고딕"/>
        <family val="0"/>
        <charset val="1"/>
      </rPr>
      <t xml:space="preserve">)</t>
    </r>
  </si>
  <si>
    <t xml:space="preserve">문장</t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</si>
  <si>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</si>
  <si>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따라 읽기 녹음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지문 읽어 주기 선택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</si>
  <si>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-06</t>
    </r>
  </si>
  <si>
    <t xml:space="preserve">문장을 읽고 알맞게 행동해요</t>
  </si>
  <si>
    <r>
      <rPr>
        <sz val="9"/>
        <rFont val="WenQuanYi Zen Hei"/>
        <family val="2"/>
      </rPr>
      <t xml:space="preserve">문장의 의미를 대강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</si>
  <si>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문장의 의미를 대강 이해할 수 있다</t>
    </r>
    <r>
      <rPr>
        <sz val="9"/>
        <rFont val="맑은 고딕"/>
        <family val="0"/>
        <charset val="1"/>
      </rPr>
      <t xml:space="preserve">.</t>
    </r>
  </si>
  <si>
    <t xml:space="preserve">R-2-2-1, R-2-2-2</t>
  </si>
  <si>
    <r>
      <rPr>
        <sz val="9"/>
        <rFont val="맑은 고딕"/>
        <family val="0"/>
        <charset val="1"/>
      </rPr>
      <t xml:space="preserve">R-2-2-1 </t>
    </r>
    <r>
      <rPr>
        <sz val="9"/>
        <rFont val="WenQuanYi Zen Hei"/>
        <family val="2"/>
      </rPr>
      <t xml:space="preserve">짧은 지시문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문을 닫아요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문을 열어요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문장에 맞는 행동을 한다</t>
    </r>
    <r>
      <rPr>
        <sz val="9"/>
        <rFont val="맑은 고딕"/>
        <family val="0"/>
        <charset val="1"/>
      </rPr>
      <t xml:space="preserve">.
R-2-2-2 </t>
    </r>
    <r>
      <rPr>
        <sz val="9"/>
        <rFont val="WenQuanYi Zen Hei"/>
        <family val="2"/>
      </rPr>
      <t xml:space="preserve">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고양이가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아이가 뛰어요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민수가 공을 차요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 내용과 맞는 그림을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</si>
  <si>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문을 닫아요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문을 열어요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고양이가 자요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아이가 뛰어요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민수가 공을 차요
② 짧은 지시문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문을 닫아요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문을 열어요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문장에 맞는 행동을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고양이가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아이가 뛰어요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민수가 공을 차요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 내용과 맞는 그림을 연결한다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R-2-2-1·R-2-2-2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</si>
  <si>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읽고 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고르기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선 잇기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이름표 붙이기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</si>
  <si>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-03</t>
    </r>
  </si>
  <si>
    <t xml:space="preserve">지문 읽어 주기 선택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</si>
  <si>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-07</t>
    </r>
  </si>
  <si>
    <t xml:space="preserve">알림장을 읽고 준비물을 찾아요</t>
  </si>
  <si>
    <r>
      <rPr>
        <sz val="9"/>
        <rFont val="WenQuanYi Zen Hei"/>
        <family val="2"/>
      </rPr>
      <t xml:space="preserve">알림장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게시판 등의 글을 읽고 정보를 찾을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</si>
  <si>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알림장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게시판 등의 글을 읽고 정보를 찾을 수 있다</t>
    </r>
    <r>
      <rPr>
        <sz val="9"/>
        <rFont val="맑은 고딕"/>
        <family val="0"/>
        <charset val="1"/>
      </rPr>
      <t xml:space="preserve">.</t>
    </r>
  </si>
  <si>
    <t xml:space="preserve">R-2-3-1, R-2-3-2</t>
  </si>
  <si>
    <r>
      <rPr>
        <sz val="9"/>
        <rFont val="맑은 고딕"/>
        <family val="0"/>
        <charset val="1"/>
      </rPr>
      <t xml:space="preserve">R-2-3-1 </t>
    </r>
    <r>
      <rPr>
        <sz val="9"/>
        <rFont val="WenQuanYi Zen Hei"/>
        <family val="2"/>
      </rPr>
      <t xml:space="preserve">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색종이와 가위 가져오기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색종이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
R-2-3-2 </t>
    </r>
    <r>
      <rPr>
        <sz val="9"/>
        <rFont val="WenQuanYi Zen Hei"/>
        <family val="2"/>
      </rPr>
      <t xml:space="preserve">게시판 안내문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도서관에서 퀴즈 행사를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동그라미를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</si>
  <si>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색종이와 가위 가져오기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색종이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도서관에서 퀴즈 행사를 합니다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일시
② 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색종이와 가위 가져오기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색종이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게시판 안내문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도서관에서 퀴즈 행사를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동그라미를 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R-2-3-1·R-2-3-2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</si>
  <si>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읽고 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낱말 표시하기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</si>
  <si>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-06,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-08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</si>
  <si>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</t>
    </r>
  </si>
  <si>
    <t xml:space="preserve">뜻을 생각하며 끊어 읽어요</t>
  </si>
  <si>
    <r>
      <rPr>
        <sz val="9"/>
        <rFont val="WenQuanYi Zen Hei"/>
        <family val="2"/>
      </rPr>
      <t xml:space="preserve">문장을 의미 단위로 끊어 읽을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</si>
  <si>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문장을 의미 단위로 끊어 읽을 수 있다</t>
    </r>
    <r>
      <rPr>
        <sz val="9"/>
        <rFont val="맑은 고딕"/>
        <family val="0"/>
        <charset val="1"/>
      </rPr>
      <t xml:space="preserve">.</t>
    </r>
  </si>
  <si>
    <t xml:space="preserve">R-2-4-1, R-2-4-2</t>
  </si>
  <si>
    <r>
      <rPr>
        <sz val="9"/>
        <rFont val="맑은 고딕"/>
        <family val="0"/>
        <charset val="1"/>
      </rPr>
      <t xml:space="preserve">R-2-4-1 </t>
    </r>
    <r>
      <rPr>
        <sz val="9"/>
        <rFont val="WenQuanYi Zen Hei"/>
        <family val="2"/>
      </rPr>
      <t xml:space="preserve">누가 무엇을 하는지 드러나도록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지아가 </t>
    </r>
    <r>
      <rPr>
        <sz val="9"/>
        <rFont val="맑은 고딕"/>
        <family val="0"/>
        <charset val="1"/>
      </rPr>
      <t xml:space="preserve">v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두 부분으로 나누어 읽는다</t>
    </r>
    <r>
      <rPr>
        <sz val="9"/>
        <rFont val="맑은 고딕"/>
        <family val="0"/>
        <charset val="1"/>
      </rPr>
      <t xml:space="preserve">.
R-2-4-2 </t>
    </r>
    <r>
      <rPr>
        <sz val="9"/>
        <rFont val="WenQuanYi Zen Hei"/>
        <family val="2"/>
      </rPr>
      <t xml:space="preserve">장소나 시간을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운동장에서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친구와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아침에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앞부분에서 쉬어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</si>
  <si>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지아가 </t>
    </r>
    <r>
      <rPr>
        <sz val="9"/>
        <rFont val="맑은 고딕"/>
        <family val="0"/>
        <charset val="1"/>
      </rPr>
      <t xml:space="preserve">v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운동장에서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친구와 놀아요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아침에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가요
② 누가 무엇을 하는지 드러나도록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지아가 </t>
    </r>
    <r>
      <rPr>
        <sz val="9"/>
        <rFont val="맑은 고딕"/>
        <family val="0"/>
        <charset val="1"/>
      </rPr>
      <t xml:space="preserve">v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두 부분으로 나누어 읽는다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장소나 시간을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운동장에서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친구와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아침에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앞부분에서 쉬어 읽는다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R-2-4-1·R-2-4-2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</si>
  <si>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</si>
  <si>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</t>
    </r>
  </si>
  <si>
    <r>
      <rPr>
        <b val="true"/>
        <sz val="9"/>
        <rFont val="WenQuanYi Zen Hei"/>
        <family val="2"/>
      </rPr>
      <t xml:space="preserve">짧은 글에서 누가</t>
    </r>
    <r>
      <rPr>
        <b val="true"/>
        <sz val="9"/>
        <rFont val="맑은 고딕"/>
        <family val="0"/>
        <charset val="1"/>
      </rPr>
      <t xml:space="preserve">, </t>
    </r>
    <r>
      <rPr>
        <b val="true"/>
        <sz val="9"/>
        <rFont val="WenQuanYi Zen Hei"/>
        <family val="2"/>
      </rPr>
      <t xml:space="preserve">어디에서를 찾아요</t>
    </r>
  </si>
  <si>
    <r>
      <rPr>
        <sz val="9"/>
        <rFont val="WenQuanYi Zen Hei"/>
        <family val="2"/>
      </rPr>
      <t xml:space="preserve">쉽고 짧은 글을 읽고 대강의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</si>
  <si>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쉽고 짧은 글을 읽고 대강의 내용을 이해할 수 있다</t>
    </r>
    <r>
      <rPr>
        <sz val="9"/>
        <rFont val="맑은 고딕"/>
        <family val="0"/>
        <charset val="1"/>
      </rPr>
      <t xml:space="preserve">.</t>
    </r>
  </si>
  <si>
    <t xml:space="preserve">R-3-1-1, R-3-1-2, R-3-1-3, R-3-1-4</t>
  </si>
  <si>
    <r>
      <rPr>
        <sz val="9"/>
        <rFont val="맑은 고딕"/>
        <family val="0"/>
        <charset val="1"/>
      </rPr>
      <t xml:space="preserve">R-3-1-1 </t>
    </r>
    <r>
      <rPr>
        <sz val="9"/>
        <rFont val="WenQuanYi Zen Hei"/>
        <family val="2"/>
      </rPr>
      <t xml:space="preserve">두세 문장으로 된 이야기를 읽고 등장인물을 표시한다</t>
    </r>
    <r>
      <rPr>
        <sz val="9"/>
        <rFont val="맑은 고딕"/>
        <family val="0"/>
        <charset val="1"/>
      </rPr>
      <t xml:space="preserve">.
R-3-1-2 </t>
    </r>
    <r>
      <rPr>
        <sz val="9"/>
        <rFont val="WenQuanYi Zen Hei"/>
        <family val="2"/>
      </rPr>
      <t xml:space="preserve">짧은 글을 읽고 일이 일어난 장소를 표시한다</t>
    </r>
    <r>
      <rPr>
        <sz val="9"/>
        <rFont val="맑은 고딕"/>
        <family val="0"/>
        <charset val="1"/>
      </rPr>
      <t xml:space="preserve">.
R-3-1-3 </t>
    </r>
    <r>
      <rPr>
        <sz val="9"/>
        <rFont val="WenQuanYi Zen Hei"/>
        <family val="2"/>
      </rPr>
      <t xml:space="preserve">짧은 글을 읽고 글에서 등장인물이 한 일을 고른다</t>
    </r>
    <r>
      <rPr>
        <sz val="9"/>
        <rFont val="맑은 고딕"/>
        <family val="0"/>
        <charset val="1"/>
      </rPr>
      <t xml:space="preserve">.
R-3-1-4 </t>
    </r>
    <r>
      <rPr>
        <sz val="9"/>
        <rFont val="WenQuanYi Zen Hei"/>
        <family val="2"/>
      </rPr>
      <t xml:space="preserve">짧은 글을 읽고 내용과 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</si>
  <si>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두세 문장으로 된 이야기를 읽고 등장인물을 표시한다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짧은 글을 읽고 일이 일어난 장소를 표시한다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짧은 글을 읽고 글에서 등장인물이 한 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</si>
  <si>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낱말 표시하기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읽고 보기 고르기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</si>
  <si>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</si>
  <si>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-10</t>
    </r>
  </si>
  <si>
    <t xml:space="preserve">소개하는 글을 읽어요</t>
  </si>
  <si>
    <r>
      <rPr>
        <sz val="9"/>
        <rFont val="WenQuanYi Zen Hei"/>
        <family val="2"/>
      </rPr>
      <t xml:space="preserve">소개하는 글을 읽고 주요 내용을 찾을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</si>
  <si>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소개하는 글을 읽고 주요 내용을 찾을 수 있다</t>
    </r>
    <r>
      <rPr>
        <sz val="9"/>
        <rFont val="맑은 고딕"/>
        <family val="0"/>
        <charset val="1"/>
      </rPr>
      <t xml:space="preserve">.</t>
    </r>
  </si>
  <si>
    <t xml:space="preserve">R-3-2-1, R-3-2-2, R-3-2-3</t>
  </si>
  <si>
    <r>
      <rPr>
        <sz val="9"/>
        <rFont val="맑은 고딕"/>
        <family val="0"/>
        <charset val="1"/>
      </rPr>
      <t xml:space="preserve">R-3-2-1 </t>
    </r>
    <r>
      <rPr>
        <sz val="9"/>
        <rFont val="WenQuanYi Zen Hei"/>
        <family val="2"/>
      </rPr>
      <t xml:space="preserve">친구 소개 글을 읽고 친구의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옷차림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생김새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그림을 고른다</t>
    </r>
    <r>
      <rPr>
        <sz val="9"/>
        <rFont val="맑은 고딕"/>
        <family val="0"/>
        <charset val="1"/>
      </rPr>
      <t xml:space="preserve">.
R-3-2-2 </t>
    </r>
    <r>
      <rPr>
        <sz val="9"/>
        <rFont val="WenQuanYi Zen Hei"/>
        <family val="2"/>
      </rPr>
      <t xml:space="preserve">학교 소개 글을 읽고 주요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찾는다</t>
    </r>
    <r>
      <rPr>
        <sz val="9"/>
        <rFont val="맑은 고딕"/>
        <family val="0"/>
        <charset val="1"/>
      </rPr>
      <t xml:space="preserve">.
R-3-2-3 </t>
    </r>
    <r>
      <rPr>
        <sz val="9"/>
        <rFont val="WenQuanYi Zen Hei"/>
        <family val="2"/>
      </rPr>
      <t xml:space="preserve">좋아하는 동물 소개 글을 읽고 동물의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다리 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사는 곳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질문에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</si>
  <si>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옷차림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생김새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색깔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다리 수
② 친구 소개 글을 읽고 친구의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옷차림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생김새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그림을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학교 소개 글을 읽고 주요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좋아하는 동물 소개 글을 읽고 동물의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다리 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사는 곳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질문에 답한다</t>
    </r>
    <r>
      <rPr>
        <sz val="9"/>
        <rFont val="맑은 고딕"/>
        <family val="0"/>
        <charset val="1"/>
      </rPr>
      <t xml:space="preserve">.</t>
    </r>
  </si>
  <si>
    <t xml:space="preserve">읽고 보기 고르기</t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</si>
  <si>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-13,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</si>
  <si>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</t>
    </r>
  </si>
  <si>
    <t xml:space="preserve">초대 글과 안내 글을 읽어요</t>
  </si>
  <si>
    <r>
      <rPr>
        <sz val="9"/>
        <rFont val="WenQuanYi Zen Hei"/>
        <family val="2"/>
      </rPr>
      <t xml:space="preserve">다양한 종류의 짧고 쉬운 글의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</si>
  <si>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종류의 짧고 쉬운 글의 내용을 이해할 수 있다</t>
    </r>
    <r>
      <rPr>
        <sz val="9"/>
        <rFont val="맑은 고딕"/>
        <family val="0"/>
        <charset val="1"/>
      </rPr>
      <t xml:space="preserve">.</t>
    </r>
  </si>
  <si>
    <t xml:space="preserve">R-3-3-1, R-3-3-2, R-3-3-3, R-3-3-4</t>
  </si>
  <si>
    <r>
      <rPr>
        <sz val="9"/>
        <rFont val="맑은 고딕"/>
        <family val="0"/>
        <charset val="1"/>
      </rPr>
      <t xml:space="preserve">R-3-3-1 </t>
    </r>
    <r>
      <rPr>
        <sz val="9"/>
        <rFont val="WenQuanYi Zen Hei"/>
        <family val="2"/>
      </rPr>
      <t xml:space="preserve">짧은 초대 글을 읽고 초대의 목적이나 의도를 찾아낸다</t>
    </r>
    <r>
      <rPr>
        <sz val="9"/>
        <rFont val="맑은 고딕"/>
        <family val="0"/>
        <charset val="1"/>
      </rPr>
      <t xml:space="preserve">.
R-3-3-2 </t>
    </r>
    <r>
      <rPr>
        <sz val="9"/>
        <rFont val="WenQuanYi Zen Hei"/>
        <family val="2"/>
      </rPr>
      <t xml:space="preserve">간단한 메세지를 읽고 부탁한 일을 문장으로 답한다</t>
    </r>
    <r>
      <rPr>
        <sz val="9"/>
        <rFont val="맑은 고딕"/>
        <family val="0"/>
        <charset val="1"/>
      </rPr>
      <t xml:space="preserve">.
R-3-3-3 </t>
    </r>
    <r>
      <rPr>
        <sz val="9"/>
        <rFont val="WenQuanYi Zen Hei"/>
        <family val="2"/>
      </rPr>
      <t xml:space="preserve">짧은 안내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 이용방법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규칙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해야 할 행동을 찾는다</t>
    </r>
    <r>
      <rPr>
        <sz val="9"/>
        <rFont val="맑은 고딕"/>
        <family val="0"/>
        <charset val="1"/>
      </rPr>
      <t xml:space="preserve">.
R-3-3-4 </t>
    </r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글의 주제에 관련한 문장에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</si>
  <si>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도서관 이용방법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
② 짧은 초대 글을 읽고 초대의 목적이나 의도를 찾아낸다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간단한 메세지를 읽고 부탁한 일을 문장으로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짧은 안내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 이용방법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규칙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해야 할 행동을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</si>
  <si>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읽고 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읽고 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고르기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낱말 표시하기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</si>
  <si>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-14,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</si>
  <si>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-12</t>
    </r>
  </si>
  <si>
    <t xml:space="preserve">문단에서 중심 내용을 찾아요</t>
  </si>
  <si>
    <r>
      <rPr>
        <sz val="9"/>
        <rFont val="WenQuanYi Zen Hei"/>
        <family val="2"/>
      </rPr>
      <t xml:space="preserve">다양한 구조의 문장으로 이루어진 문단을 읽고 중심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</si>
  <si>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구조의 문장으로 이루어진 문단을 읽고 중심 내용을 이해할 수 있다</t>
    </r>
    <r>
      <rPr>
        <sz val="9"/>
        <rFont val="맑은 고딕"/>
        <family val="0"/>
        <charset val="1"/>
      </rPr>
      <t xml:space="preserve">.</t>
    </r>
  </si>
  <si>
    <t xml:space="preserve">R-3-4-1, R-3-4-2, R-3-4-3</t>
  </si>
  <si>
    <r>
      <rPr>
        <sz val="9"/>
        <rFont val="맑은 고딕"/>
        <family val="0"/>
        <charset val="1"/>
      </rPr>
      <t xml:space="preserve">R-3-4-1 </t>
    </r>
    <r>
      <rPr>
        <sz val="9"/>
        <rFont val="WenQuanYi Zen Hei"/>
        <family val="2"/>
      </rPr>
      <t xml:space="preserve">짧은 문단을 읽고 무엇에 대한 글인지 한 단어나 짧은 말로 말한다</t>
    </r>
    <r>
      <rPr>
        <sz val="9"/>
        <rFont val="맑은 고딕"/>
        <family val="0"/>
        <charset val="1"/>
      </rPr>
      <t xml:space="preserve">.
R-3-4-2 </t>
    </r>
    <r>
      <rPr>
        <sz val="9"/>
        <rFont val="WenQuanYi Zen Hei"/>
        <family val="2"/>
      </rPr>
      <t xml:space="preserve">짧은 문단을 읽고 까닭이나 결과를 나타내는 문장을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원인과 결과가 드러나는 문장
</t>
    </r>
    <r>
      <rPr>
        <sz val="9"/>
        <rFont val="맑은 고딕"/>
        <family val="0"/>
        <charset val="1"/>
      </rPr>
      <t xml:space="preserve">R-3-4-3 </t>
    </r>
    <r>
      <rPr>
        <sz val="9"/>
        <rFont val="WenQuanYi Zen Hei"/>
        <family val="2"/>
      </rPr>
      <t xml:space="preserve">짧은 문단을 읽고 주제와 관련 없는 그림이나 문장을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</si>
  <si>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짧은 문단을 읽고 무엇에 대한 글인지 한 단어나 짧은 말로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짧은 문단을 읽고 까닭이나 결과를 나타내는 문장을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원인과 결과가 드러나는 문장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짧은 문단을 읽고 주제와 관련 없는 그림이나 문장을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</si>
  <si>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선 잇기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이름표 붙이기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읽고 보기 고르기</t>
    </r>
  </si>
  <si>
    <t xml:space="preserve">중심 내용</t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</si>
  <si>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</si>
  <si>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-13</t>
    </r>
  </si>
  <si>
    <t xml:space="preserve">글을 읽고 일의 순서를 알아요</t>
  </si>
  <si>
    <r>
      <rPr>
        <sz val="9"/>
        <rFont val="WenQuanYi Zen Hei"/>
        <family val="2"/>
      </rPr>
      <t xml:space="preserve">쉽고 짧은 글을 읽고 전반적인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</si>
  <si>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쉽고 짧은 글을 읽고 전반적인 내용을 이해할 수 있다</t>
    </r>
    <r>
      <rPr>
        <sz val="9"/>
        <rFont val="맑은 고딕"/>
        <family val="0"/>
        <charset val="1"/>
      </rPr>
      <t xml:space="preserve">.</t>
    </r>
  </si>
  <si>
    <t xml:space="preserve">R-4-1-1, R-4-1-2, R-4-1-3, R-4-1-4</t>
  </si>
  <si>
    <r>
      <rPr>
        <sz val="9"/>
        <rFont val="맑은 고딕"/>
        <family val="0"/>
        <charset val="1"/>
      </rPr>
      <t xml:space="preserve">R-4-1-1 </t>
    </r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인물을 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여행을 다녀온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했는지 각각 표시한다</t>
    </r>
    <r>
      <rPr>
        <sz val="9"/>
        <rFont val="맑은 고딕"/>
        <family val="0"/>
        <charset val="1"/>
      </rPr>
      <t xml:space="preserve">.
R-4-1-2 </t>
    </r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요리방법을 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하루 일과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 방법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일의 순서대로 그림 카드로 나타낸다</t>
    </r>
    <r>
      <rPr>
        <sz val="9"/>
        <rFont val="맑은 고딕"/>
        <family val="0"/>
        <charset val="1"/>
      </rPr>
      <t xml:space="preserve">.
R-4-1-3 </t>
    </r>
    <r>
      <rPr>
        <sz val="9"/>
        <rFont val="WenQuanYi Zen Hei"/>
        <family val="2"/>
      </rPr>
      <t xml:space="preserve">짧은 글을 읽고 내용과 맞는 문장에 동그라미를 한다</t>
    </r>
    <r>
      <rPr>
        <sz val="9"/>
        <rFont val="맑은 고딕"/>
        <family val="0"/>
        <charset val="1"/>
      </rPr>
      <t xml:space="preserve">.
R-4-1-4 </t>
    </r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동화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등장인물의 기분을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부끄럽다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걱정이 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속상하다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놀라다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</si>
  <si>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인물을 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여행을 다녀온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요리방법을 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하루 일과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 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일기
② 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인물을 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여행을 다녀온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했는지 각각 표시한다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요리방법을 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하루 일과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 방법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일의 순서대로 그림 카드로 나타낸다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짧은 글을 읽고 내용과 맞는 문장에 동그라미를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</si>
  <si>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낱말 표시하기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읽고 보기 고르기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</si>
  <si>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</si>
  <si>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-14</t>
    </r>
  </si>
  <si>
    <t xml:space="preserve">옛이야기를 읽고 줄거리를 알아요</t>
  </si>
  <si>
    <r>
      <rPr>
        <sz val="9"/>
        <rFont val="WenQuanYi Zen Hei"/>
        <family val="2"/>
      </rPr>
      <t xml:space="preserve">이야기를 읽고 줄거리를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</si>
  <si>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이야기를 읽고 줄거리를 이해할 수 있다</t>
    </r>
    <r>
      <rPr>
        <sz val="9"/>
        <rFont val="맑은 고딕"/>
        <family val="0"/>
        <charset val="1"/>
      </rPr>
      <t xml:space="preserve">.</t>
    </r>
  </si>
  <si>
    <t xml:space="preserve">R-4-2-1, R-4-2-2, R-4-2-3</t>
  </si>
  <si>
    <r>
      <rPr>
        <sz val="9"/>
        <rFont val="맑은 고딕"/>
        <family val="0"/>
        <charset val="1"/>
      </rPr>
      <t xml:space="preserve">R-4-2-1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문장 카드를 일이 일어난 순서대로 놓는다</t>
    </r>
    <r>
      <rPr>
        <sz val="9"/>
        <rFont val="맑은 고딕"/>
        <family val="0"/>
        <charset val="1"/>
      </rPr>
      <t xml:space="preserve">.
R-4-2-2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등장인물에게 생긴 일이 나타난 문장을 찾는다</t>
    </r>
    <r>
      <rPr>
        <sz val="9"/>
        <rFont val="맑은 고딕"/>
        <family val="0"/>
        <charset val="1"/>
      </rPr>
      <t xml:space="preserve">.
R-4-2-3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줄거리와 관련 없는 문장을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</si>
  <si>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
②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문장 카드를 일이 일어난 순서대로 놓는다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등장인물에게 생긴 일이 나타난 문장을 찾는다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줄거리와 관련 없는 문장을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</si>
  <si>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낱말 표시하기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읽고 보기 고르기</t>
    </r>
  </si>
  <si>
    <t xml:space="preserve">이야기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</si>
  <si>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-15</t>
    </r>
  </si>
  <si>
    <t xml:space="preserve">교과서 글을 읽고 이해해요</t>
  </si>
  <si>
    <r>
      <rPr>
        <sz val="9"/>
        <rFont val="WenQuanYi Zen Hei"/>
        <family val="2"/>
      </rPr>
      <t xml:space="preserve">교과서에 나오는 글의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</si>
  <si>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교과서에 나오는 글의 내용을 이해할 수 있다</t>
    </r>
    <r>
      <rPr>
        <sz val="9"/>
        <rFont val="맑은 고딕"/>
        <family val="0"/>
        <charset val="1"/>
      </rPr>
      <t xml:space="preserve">.</t>
    </r>
  </si>
  <si>
    <t xml:space="preserve">R-4-3-1, R-4-3-2, R-4-3-3, R-4-3-4</t>
  </si>
  <si>
    <r>
      <rPr>
        <sz val="9"/>
        <rFont val="맑은 고딕"/>
        <family val="0"/>
        <charset val="1"/>
      </rPr>
      <t xml:space="preserve">R-4-3-1 </t>
    </r>
    <r>
      <rPr>
        <sz val="9"/>
        <rFont val="WenQuanYi Zen Hei"/>
        <family val="2"/>
      </rPr>
      <t xml:space="preserve">교과서의 짧은 설명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글에서 설명하는 대상을 고른다</t>
    </r>
    <r>
      <rPr>
        <sz val="9"/>
        <rFont val="맑은 고딕"/>
        <family val="0"/>
        <charset val="1"/>
      </rPr>
      <t xml:space="preserve">.
R-4-3-2 </t>
    </r>
    <r>
      <rPr>
        <sz val="9"/>
        <rFont val="WenQuanYi Zen Hei"/>
        <family val="2"/>
      </rPr>
      <t xml:space="preserve">교과서의 짧은 이야기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누가 무엇을 했는지 찾는다</t>
    </r>
    <r>
      <rPr>
        <sz val="9"/>
        <rFont val="맑은 고딕"/>
        <family val="0"/>
        <charset val="1"/>
      </rPr>
      <t xml:space="preserve">.
R-4-3-3 </t>
    </r>
    <r>
      <rPr>
        <sz val="9"/>
        <rFont val="WenQuanYi Zen Hei"/>
        <family val="2"/>
      </rPr>
      <t xml:space="preserve">교과서 글에 있는 그림을 보고 글과 관련된 정보를 고른다</t>
    </r>
    <r>
      <rPr>
        <sz val="9"/>
        <rFont val="맑은 고딕"/>
        <family val="0"/>
        <charset val="1"/>
      </rPr>
      <t xml:space="preserve">.
R-4-3-4 </t>
    </r>
    <r>
      <rPr>
        <sz val="9"/>
        <rFont val="WenQuanYi Zen Hei"/>
        <family val="2"/>
      </rPr>
      <t xml:space="preserve">교과서 글을 읽고 내용을 묻는 질문에 글 속 낱말을 사용해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</si>
  <si>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교과서의 짧은 설명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글에서 설명하는 대상을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교과서의 짧은 이야기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누가 무엇을 했는지 찾는다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교과서 글에 있는 그림을 보고 글과 관련된 정보를 고른다</t>
    </r>
    <r>
      <rPr>
        <sz val="9"/>
        <rFont val="맑은 고딕"/>
        <family val="0"/>
        <charset val="1"/>
      </rPr>
      <t xml:space="preserve">.</t>
    </r>
  </si>
  <si>
    <t xml:space="preserve">교과서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</si>
  <si>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-16</t>
    </r>
  </si>
  <si>
    <t xml:space="preserve">글에 어울리는 제목을 골라요</t>
  </si>
  <si>
    <r>
      <rPr>
        <sz val="9"/>
        <rFont val="WenQuanYi Zen Hei"/>
        <family val="2"/>
      </rPr>
      <t xml:space="preserve">글을 읽고 중심 내용을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</si>
  <si>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중심 내용을 이해할 수 있다</t>
    </r>
    <r>
      <rPr>
        <sz val="9"/>
        <rFont val="맑은 고딕"/>
        <family val="0"/>
        <charset val="1"/>
      </rPr>
      <t xml:space="preserve">.</t>
    </r>
  </si>
  <si>
    <t xml:space="preserve">R-4-4-1, R-4-4-2, R-4-4-3</t>
  </si>
  <si>
    <r>
      <rPr>
        <sz val="9"/>
        <rFont val="맑은 고딕"/>
        <family val="0"/>
        <charset val="1"/>
      </rPr>
      <t xml:space="preserve">R-4-4-1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글에 가장 어울리는 제목을 고른다</t>
    </r>
    <r>
      <rPr>
        <sz val="9"/>
        <rFont val="맑은 고딕"/>
        <family val="0"/>
        <charset val="1"/>
      </rPr>
      <t xml:space="preserve">.
R-4-4-2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주제와 관련된 낱말에 표시한다</t>
    </r>
    <r>
      <rPr>
        <sz val="9"/>
        <rFont val="맑은 고딕"/>
        <family val="0"/>
        <charset val="1"/>
      </rPr>
      <t xml:space="preserve">.
R-4-4-3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중심 내용과 맞는 문장을 보기에서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</si>
  <si>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
②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글에 가장 어울리는 제목을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주제와 관련된 낱말에 표시한다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중심 내용과 맞는 문장을 보기에서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</si>
  <si>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</si>
  <si>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</t>
    </r>
  </si>
  <si>
    <t xml:space="preserve">글자와 낱말을 따라 써요</t>
  </si>
  <si>
    <r>
      <rPr>
        <sz val="9"/>
        <rFont val="WenQuanYi Zen Hei"/>
        <family val="2"/>
      </rPr>
      <t xml:space="preserve">글자와 단어를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</si>
  <si>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글자와 단어를 쓸 수 있다</t>
    </r>
    <r>
      <rPr>
        <sz val="9"/>
        <rFont val="맑은 고딕"/>
        <family val="0"/>
        <charset val="1"/>
      </rPr>
      <t xml:space="preserve">.</t>
    </r>
  </si>
  <si>
    <t xml:space="preserve">W-1-1-1, W-1-1-2, W-1-1-3</t>
  </si>
  <si>
    <r>
      <rPr>
        <sz val="9"/>
        <rFont val="맑은 고딕"/>
        <family val="0"/>
        <charset val="1"/>
      </rPr>
      <t xml:space="preserve">W-1-1-1 </t>
    </r>
    <r>
      <rPr>
        <sz val="9"/>
        <rFont val="WenQuanYi Zen Hei"/>
        <family val="2"/>
      </rPr>
      <t xml:space="preserve">제시한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같은 글자를 따라 쓴다</t>
    </r>
    <r>
      <rPr>
        <sz val="9"/>
        <rFont val="맑은 고딕"/>
        <family val="0"/>
        <charset val="1"/>
      </rPr>
      <t xml:space="preserve">.
W-1-1-2 </t>
    </r>
    <r>
      <rPr>
        <sz val="9"/>
        <rFont val="WenQuanYi Zen Hei"/>
        <family val="2"/>
      </rPr>
      <t xml:space="preserve">그림 옆에 제시된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따라 쓴다</t>
    </r>
    <r>
      <rPr>
        <sz val="9"/>
        <rFont val="맑은 고딕"/>
        <family val="0"/>
        <charset val="1"/>
      </rPr>
      <t xml:space="preserve">.
W-1-1-3 </t>
    </r>
    <r>
      <rPr>
        <sz val="9"/>
        <rFont val="WenQuanYi Zen Hei"/>
        <family val="2"/>
      </rPr>
      <t xml:space="preserve">자기 이름이나 교실에서 자주 쓰는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</si>
  <si>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
② 제시한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같은 글자를 따라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 옆에 제시된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따라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자기 이름이나 교실에서 자주 쓰는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</si>
  <si>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따라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획순 애니메이션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문장 카드 조합 쓰기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</si>
  <si>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</si>
  <si>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터치 필기 화면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획순 데이터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</si>
  <si>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</si>
  <si>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t xml:space="preserve">획순에 맞게 글자를 써요</t>
  </si>
  <si>
    <r>
      <rPr>
        <sz val="9"/>
        <rFont val="WenQuanYi Zen Hei"/>
        <family val="2"/>
      </rPr>
      <t xml:space="preserve">필순과 자형에 맞게 글자를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</si>
  <si>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필순과 자형에 맞게 글자를 쓸 수 있다</t>
    </r>
    <r>
      <rPr>
        <sz val="9"/>
        <rFont val="맑은 고딕"/>
        <family val="0"/>
        <charset val="1"/>
      </rPr>
      <t xml:space="preserve">.</t>
    </r>
  </si>
  <si>
    <t xml:space="preserve">W-1-2-1, W-1-2-2</t>
  </si>
  <si>
    <r>
      <rPr>
        <sz val="9"/>
        <rFont val="맑은 고딕"/>
        <family val="0"/>
        <charset val="1"/>
      </rPr>
      <t xml:space="preserve">W-1-2-1 </t>
    </r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획을 차례대로 따라 쓴다</t>
    </r>
    <r>
      <rPr>
        <sz val="9"/>
        <rFont val="맑은 고딕"/>
        <family val="0"/>
        <charset val="1"/>
      </rPr>
      <t xml:space="preserve">.
W-1-2-2 </t>
    </r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자형에 맞게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</si>
  <si>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트
②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획을 차례대로 따라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자형에 맞게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W-1-2-1·W-1-2-2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</si>
  <si>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따라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획순 애니메이션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</si>
  <si>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</si>
  <si>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-03</t>
    </r>
  </si>
  <si>
    <t xml:space="preserve">내 이름과 나이를 써요</t>
  </si>
  <si>
    <r>
      <rPr>
        <sz val="9"/>
        <rFont val="WenQuanYi Zen Hei"/>
        <family val="2"/>
      </rPr>
      <t xml:space="preserve">인사말이나 간단한 신상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</si>
  <si>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인사말이나 간단한 신상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쓸 수 있다</t>
    </r>
    <r>
      <rPr>
        <sz val="9"/>
        <rFont val="맑은 고딕"/>
        <family val="0"/>
        <charset val="1"/>
      </rPr>
      <t xml:space="preserve">.</t>
    </r>
  </si>
  <si>
    <t xml:space="preserve">W-1-3-1, W-1-3-2, W-1-3-3</t>
  </si>
  <si>
    <r>
      <rPr>
        <sz val="9"/>
        <rFont val="맑은 고딕"/>
        <family val="0"/>
        <charset val="1"/>
      </rPr>
      <t xml:space="preserve">W-1-3-1 </t>
    </r>
    <r>
      <rPr>
        <sz val="9"/>
        <rFont val="WenQuanYi Zen Hei"/>
        <family val="2"/>
      </rPr>
      <t xml:space="preserve">자기 이름을 쓴다</t>
    </r>
    <r>
      <rPr>
        <sz val="9"/>
        <rFont val="맑은 고딕"/>
        <family val="0"/>
        <charset val="1"/>
      </rPr>
      <t xml:space="preserve">.
W-1-3-2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(8, </t>
    </r>
    <r>
      <rPr>
        <sz val="9"/>
        <rFont val="WenQuanYi Zen Hei"/>
        <family val="2"/>
      </rPr>
      <t xml:space="preserve">여덟 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학년</t>
    </r>
    <r>
      <rPr>
        <sz val="9"/>
        <rFont val="맑은 고딕"/>
        <family val="0"/>
        <charset val="1"/>
      </rPr>
      <t xml:space="preserve">(1, 1</t>
    </r>
    <r>
      <rPr>
        <sz val="9"/>
        <rFont val="WenQuanYi Zen Hei"/>
        <family val="2"/>
      </rPr>
      <t xml:space="preserve">학년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숫자와 낱말로 쓴다</t>
    </r>
    <r>
      <rPr>
        <sz val="9"/>
        <rFont val="맑은 고딕"/>
        <family val="0"/>
        <charset val="1"/>
      </rPr>
      <t xml:space="preserve">.
W-1-3-3 </t>
    </r>
    <r>
      <rPr>
        <sz val="9"/>
        <rFont val="WenQuanYi Zen Hei"/>
        <family val="2"/>
      </rPr>
      <t xml:space="preserve">간단한 인사말을 보고 따라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</si>
  <si>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8, </t>
    </r>
    <r>
      <rPr>
        <sz val="9"/>
        <rFont val="WenQuanYi Zen Hei"/>
        <family val="2"/>
      </rPr>
      <t xml:space="preserve">여덟 살</t>
    </r>
    <r>
      <rPr>
        <sz val="9"/>
        <rFont val="맑은 고딕"/>
        <family val="0"/>
        <charset val="1"/>
      </rPr>
      <t xml:space="preserve">, 1, 1</t>
    </r>
    <r>
      <rPr>
        <sz val="9"/>
        <rFont val="WenQuanYi Zen Hei"/>
        <family val="2"/>
      </rPr>
      <t xml:space="preserve">학년
② 자기 이름을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(8, </t>
    </r>
    <r>
      <rPr>
        <sz val="9"/>
        <rFont val="WenQuanYi Zen Hei"/>
        <family val="2"/>
      </rPr>
      <t xml:space="preserve">여덟 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학년</t>
    </r>
    <r>
      <rPr>
        <sz val="9"/>
        <rFont val="맑은 고딕"/>
        <family val="0"/>
        <charset val="1"/>
      </rPr>
      <t xml:space="preserve">(1, 1</t>
    </r>
    <r>
      <rPr>
        <sz val="9"/>
        <rFont val="WenQuanYi Zen Hei"/>
        <family val="2"/>
      </rPr>
      <t xml:space="preserve">학년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숫자와 낱말로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간단한 인사말을 보고 따라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</si>
  <si>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문장 카드 조합 쓰기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따라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획순 애니메이션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</si>
  <si>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</si>
  <si>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-04</t>
    </r>
  </si>
  <si>
    <t xml:space="preserve">그림을 보고 낱말을 써요</t>
  </si>
  <si>
    <r>
      <rPr>
        <sz val="9"/>
        <rFont val="WenQuanYi Zen Hei"/>
        <family val="2"/>
      </rPr>
      <t xml:space="preserve">단순한 시각 자료를 보고 해당하는 단어를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</si>
  <si>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단순한 시각 자료를 보고 해당하는 단어를 쓸 수 있다</t>
    </r>
    <r>
      <rPr>
        <sz val="9"/>
        <rFont val="맑은 고딕"/>
        <family val="0"/>
        <charset val="1"/>
      </rPr>
      <t xml:space="preserve">.</t>
    </r>
  </si>
  <si>
    <t xml:space="preserve">W-1-4-1</t>
  </si>
  <si>
    <r>
      <rPr>
        <sz val="9"/>
        <rFont val="맑은 고딕"/>
        <family val="0"/>
        <charset val="1"/>
      </rPr>
      <t xml:space="preserve">W-1-4-1 </t>
    </r>
    <r>
      <rPr>
        <sz val="9"/>
        <rFont val="WenQuanYi Zen Hei"/>
        <family val="2"/>
      </rPr>
      <t xml:space="preserve">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</si>
  <si>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
② 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W-1-4-1)</t>
    </r>
  </si>
  <si>
    <r>
      <rPr>
        <sz val="9"/>
        <rFont val="WenQuanYi Zen Hei"/>
        <family val="2"/>
      </rPr>
      <t xml:space="preserve">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문장 카드 조합 쓰기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</si>
  <si>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</si>
  <si>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</t>
    </r>
  </si>
  <si>
    <t xml:space="preserve">그림을 보고 짧은 문장을 써요</t>
  </si>
  <si>
    <r>
      <rPr>
        <sz val="9"/>
        <rFont val="WenQuanYi Zen Hei"/>
        <family val="2"/>
      </rPr>
      <t xml:space="preserve">단어와 짧은 문장을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</si>
  <si>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단어와 짧은 문장을 쓸 수 있다</t>
    </r>
    <r>
      <rPr>
        <sz val="9"/>
        <rFont val="맑은 고딕"/>
        <family val="0"/>
        <charset val="1"/>
      </rPr>
      <t xml:space="preserve">.</t>
    </r>
  </si>
  <si>
    <t xml:space="preserve">W-2-1-1, W-2-1-2, W-2-1-3</t>
  </si>
  <si>
    <r>
      <rPr>
        <sz val="9"/>
        <rFont val="맑은 고딕"/>
        <family val="0"/>
        <charset val="1"/>
      </rPr>
      <t xml:space="preserve">W-2-1-1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물을 마시는 모습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넣어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물을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완성한다</t>
    </r>
    <r>
      <rPr>
        <sz val="9"/>
        <rFont val="맑은 고딕"/>
        <family val="0"/>
        <charset val="1"/>
      </rPr>
      <t xml:space="preserve">.
W-2-1-2 </t>
    </r>
    <r>
      <rPr>
        <sz val="9"/>
        <rFont val="WenQuanYi Zen Hei"/>
        <family val="2"/>
      </rPr>
      <t xml:space="preserve">교실 물건을 보고 </t>
    </r>
    <r>
      <rPr>
        <sz val="9"/>
        <rFont val="맑은 고딕"/>
        <family val="0"/>
        <charset val="1"/>
      </rPr>
      <t xml:space="preserve">('OO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 있어요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문장으로 쓴다</t>
    </r>
    <r>
      <rPr>
        <sz val="9"/>
        <rFont val="맑은 고딕"/>
        <family val="0"/>
        <charset val="1"/>
      </rPr>
      <t xml:space="preserve">.
W-2-1-3 </t>
    </r>
    <r>
      <rPr>
        <sz val="9"/>
        <rFont val="WenQuanYi Zen Hei"/>
        <family val="2"/>
      </rPr>
      <t xml:space="preserve">사람이나 동물이 하는 일을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고양이가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</si>
  <si>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물을 마시는 모습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마셔요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물을 마셔요</t>
    </r>
    <r>
      <rPr>
        <sz val="9"/>
        <rFont val="맑은 고딕"/>
        <family val="0"/>
        <charset val="1"/>
      </rPr>
      <t xml:space="preserve">, 'OO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 있어요</t>
    </r>
    <r>
      <rPr>
        <sz val="9"/>
        <rFont val="맑은 고딕"/>
        <family val="0"/>
        <charset val="1"/>
      </rPr>
      <t xml:space="preserve">'
②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물을 마시는 모습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넣어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물을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완성한다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교실 물건을 보고 </t>
    </r>
    <r>
      <rPr>
        <sz val="9"/>
        <rFont val="맑은 고딕"/>
        <family val="0"/>
        <charset val="1"/>
      </rPr>
      <t xml:space="preserve">('OO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 있어요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문장으로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사람이나 동물이 하는 일을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고양이가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</si>
  <si>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</si>
  <si>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t xml:space="preserve">저학년 자판 입력 부담 → 카드형 권장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</si>
  <si>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-06</t>
    </r>
  </si>
  <si>
    <t xml:space="preserve">듣고 받아써요</t>
  </si>
  <si>
    <r>
      <rPr>
        <sz val="9"/>
        <rFont val="WenQuanYi Zen Hei"/>
        <family val="2"/>
      </rPr>
      <t xml:space="preserve">소리와 표기의 차이를 알고 단어의 받아쓰기를 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</si>
  <si>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소리와 표기의 차이를 알고 단어의 받아쓰기를 할 수 있다</t>
    </r>
    <r>
      <rPr>
        <sz val="9"/>
        <rFont val="맑은 고딕"/>
        <family val="0"/>
        <charset val="1"/>
      </rPr>
      <t xml:space="preserve">.</t>
    </r>
  </si>
  <si>
    <t xml:space="preserve">W-2-2-1, W-2-2-2</t>
  </si>
  <si>
    <r>
      <rPr>
        <sz val="9"/>
        <rFont val="맑은 고딕"/>
        <family val="0"/>
        <charset val="1"/>
      </rPr>
      <t xml:space="preserve">W-2-2-1 </t>
    </r>
    <r>
      <rPr>
        <sz val="9"/>
        <rFont val="WenQuanYi Zen Hei"/>
        <family val="2"/>
      </rPr>
      <t xml:space="preserve">천천히 읽어 주는 익숙한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실제 표기에 맞는 글자로 받아쓴다</t>
    </r>
    <r>
      <rPr>
        <sz val="9"/>
        <rFont val="맑은 고딕"/>
        <family val="0"/>
        <charset val="1"/>
      </rPr>
      <t xml:space="preserve">.
W-2-2-2 </t>
    </r>
    <r>
      <rPr>
        <sz val="9"/>
        <rFont val="WenQuanYi Zen Hei"/>
        <family val="2"/>
      </rPr>
      <t xml:space="preserve">그림을 보고 받침이 있는 짧은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앉다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빛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빗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입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잎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뜻에 맞는 글자로 구별하여 받아쓴다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</si>
  <si>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앉다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빛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빗
② 천천히 읽어 주는 익숙한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실제 표기에 맞는 글자로 받아쓴다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그림을 보고 받침이 있는 짧은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앉다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빛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빗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입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잎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뜻에 맞는 글자로 구별하여 받아쓴다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W-2-2-1·W-2-2-2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</si>
  <si>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받아쓰기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낱말 카드 조합</t>
    </r>
    <r>
      <rPr>
        <sz val="9"/>
        <rFont val="맑은 고딕"/>
        <family val="0"/>
        <charset val="1"/>
      </rPr>
      <t xml:space="preserve">)</t>
    </r>
  </si>
  <si>
    <t xml:space="preserve">받아쓰기</t>
  </si>
  <si>
    <r>
      <rPr>
        <sz val="9"/>
        <rFont val="WenQuanYi Zen Hei"/>
        <family val="2"/>
      </rPr>
      <t xml:space="preserve">음성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카드 조합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입력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저학년 자판 입력 부담 → 카드형 권장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</si>
  <si>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</t>
    </r>
  </si>
  <si>
    <t xml:space="preserve">겪은 일을 한 문장으로 써요</t>
  </si>
  <si>
    <r>
      <rPr>
        <sz val="9"/>
        <rFont val="WenQuanYi Zen Hei"/>
        <family val="2"/>
      </rPr>
      <t xml:space="preserve">겪은 일을 짧은 문장으로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</si>
  <si>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일을 짧은 문장으로 쓸 수 있다</t>
    </r>
    <r>
      <rPr>
        <sz val="9"/>
        <rFont val="맑은 고딕"/>
        <family val="0"/>
        <charset val="1"/>
      </rPr>
      <t xml:space="preserve">.</t>
    </r>
  </si>
  <si>
    <t xml:space="preserve">W-2-3-1</t>
  </si>
  <si>
    <r>
      <rPr>
        <sz val="9"/>
        <rFont val="맑은 고딕"/>
        <family val="0"/>
        <charset val="1"/>
      </rPr>
      <t xml:space="preserve">W-2-3-1 </t>
    </r>
    <r>
      <rPr>
        <sz val="9"/>
        <rFont val="WenQuanYi Zen Hei"/>
        <family val="2"/>
      </rPr>
      <t xml:space="preserve">사진 또는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수영하는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축구하는 사진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겪은 일에 관해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수영을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축구를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</si>
  <si>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수영하는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축구하는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수영을 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축구를 했어요
② 사진 또는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수영하는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축구하는 사진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겪은 일에 관해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수영을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축구를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으로…
③ 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W-2-3-1)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</si>
  <si>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</si>
  <si>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-08</t>
    </r>
  </si>
  <si>
    <t xml:space="preserve">준비물과 할 일을 메모해요</t>
  </si>
  <si>
    <r>
      <rPr>
        <sz val="9"/>
        <rFont val="WenQuanYi Zen Hei"/>
        <family val="2"/>
      </rPr>
      <t xml:space="preserve">생활에 필요한 간단한 메모를 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</si>
  <si>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생활에 필요한 간단한 메모를 할 수 있다</t>
    </r>
    <r>
      <rPr>
        <sz val="9"/>
        <rFont val="맑은 고딕"/>
        <family val="0"/>
        <charset val="1"/>
      </rPr>
      <t xml:space="preserve">.</t>
    </r>
  </si>
  <si>
    <t xml:space="preserve">W-2-4-1, W-2-4-2</t>
  </si>
  <si>
    <r>
      <rPr>
        <sz val="9"/>
        <rFont val="맑은 고딕"/>
        <family val="0"/>
        <charset val="1"/>
      </rPr>
      <t xml:space="preserve">W-2-4-1 </t>
    </r>
    <r>
      <rPr>
        <sz val="9"/>
        <rFont val="WenQuanYi Zen Hei"/>
        <family val="2"/>
      </rPr>
      <t xml:space="preserve">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W-2-4-2 </t>
    </r>
    <r>
      <rPr>
        <sz val="9"/>
        <rFont val="WenQuanYi Zen Hei"/>
        <family val="2"/>
      </rPr>
      <t xml:space="preserve">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숙제나 해야 할 일을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숙제를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피아노를 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물건을 사요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</si>
  <si>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
② 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숙제나 해야 할 일을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숙제를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피아노를 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물건을 사요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)…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W-2-4-1·W-2-4-2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</si>
  <si>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-06,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</si>
  <si>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</t>
    </r>
  </si>
  <si>
    <t xml:space="preserve">까닭을 넣어 문장을 써요</t>
  </si>
  <si>
    <r>
      <rPr>
        <sz val="9"/>
        <rFont val="WenQuanYi Zen Hei"/>
        <family val="2"/>
      </rPr>
      <t xml:space="preserve">다양한 구조의 문장을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</si>
  <si>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구조의 문장을 쓸 수 있다</t>
    </r>
    <r>
      <rPr>
        <sz val="9"/>
        <rFont val="맑은 고딕"/>
        <family val="0"/>
        <charset val="1"/>
      </rPr>
      <t xml:space="preserve">.</t>
    </r>
  </si>
  <si>
    <t xml:space="preserve">W-3-1-1, W-3-1-2, W-3-1-3, W-3-1-4</t>
  </si>
  <si>
    <r>
      <rPr>
        <sz val="9"/>
        <rFont val="맑은 고딕"/>
        <family val="0"/>
        <charset val="1"/>
      </rPr>
      <t xml:space="preserve">W-3-1-1 </t>
    </r>
    <r>
      <rPr>
        <sz val="9"/>
        <rFont val="WenQuanYi Zen Hei"/>
        <family val="2"/>
      </rPr>
      <t xml:space="preserve">대상과 특징을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아기가 웃어요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W-3-1-2 </t>
    </r>
    <r>
      <rPr>
        <sz val="9"/>
        <rFont val="WenQuanYi Zen Hei"/>
        <family val="2"/>
      </rPr>
      <t xml:space="preserve">장소를 나타내는 말을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W-3-1-3 </t>
    </r>
    <r>
      <rPr>
        <sz val="9"/>
        <rFont val="WenQuanYi Zen Hei"/>
        <family val="2"/>
      </rPr>
      <t xml:space="preserve">좋아하는 것과 까닭을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축구가 재미있어서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W-3-1-4 </t>
    </r>
    <r>
      <rPr>
        <sz val="9"/>
        <rFont val="WenQuanYi Zen Hei"/>
        <family val="2"/>
      </rPr>
      <t xml:space="preserve">두 가지 행동을 이어서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밥을 먹고 물을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</si>
  <si>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아기가 웃어요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축구가 재미있어서 좋아요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밥을 먹고 물을 마셔요
② 대상과 특징을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아기가 웃어요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장소를 나타내는 말을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좋아하는 것과 까닭을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축구가 재미있어서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</si>
  <si>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틀 채워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예시 답안 제공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</si>
  <si>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</si>
  <si>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자동 채점 한계 → 예시 답안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교사 확인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</si>
  <si>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</t>
    </r>
  </si>
  <si>
    <t xml:space="preserve">문장부호를 바르게 써요</t>
  </si>
  <si>
    <r>
      <rPr>
        <sz val="9"/>
        <rFont val="WenQuanYi Zen Hei"/>
        <family val="2"/>
      </rPr>
      <t xml:space="preserve">어느 정도 어법에 맞게 단어나 문장을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</si>
  <si>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어느 정도 어법에 맞게 단어나 문장을 쓸 수 있다</t>
    </r>
    <r>
      <rPr>
        <sz val="9"/>
        <rFont val="맑은 고딕"/>
        <family val="0"/>
        <charset val="1"/>
      </rPr>
      <t xml:space="preserve">.</t>
    </r>
  </si>
  <si>
    <t xml:space="preserve">W-3-2-1, W-3-2-2</t>
  </si>
  <si>
    <r>
      <rPr>
        <sz val="9"/>
        <rFont val="맑은 고딕"/>
        <family val="0"/>
        <charset val="1"/>
      </rPr>
      <t xml:space="preserve">W-3-2-1 </t>
    </r>
    <r>
      <rPr>
        <sz val="9"/>
        <rFont val="WenQuanYi Zen Hei"/>
        <family val="2"/>
      </rPr>
      <t xml:space="preserve">주어진 두 가지 이상의 낱말을 자연스럽게 이어 문장을 만든다</t>
    </r>
    <r>
      <rPr>
        <sz val="9"/>
        <rFont val="맑은 고딕"/>
        <family val="0"/>
        <charset val="1"/>
      </rPr>
      <t xml:space="preserve">.
W-3-2-2 </t>
    </r>
    <r>
      <rPr>
        <sz val="9"/>
        <rFont val="WenQuanYi Zen Hei"/>
        <family val="2"/>
      </rPr>
      <t xml:space="preserve">문장이 끝나는 곳에 문장부호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마침표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물음표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느낌표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</si>
  <si>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마침표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물음표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느낌표
② 주어진 두 가지 이상의 낱말을 자연스럽게 이어 문장을 만든다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문장이 끝나는 곳에 문장부호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마침표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물음표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느낌표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표시한다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W-3-2-1·W-3-2-2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</si>
  <si>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틀 채워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예시 답안 제공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문장부호 넣기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</si>
  <si>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</si>
  <si>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-11</t>
    </r>
  </si>
  <si>
    <t xml:space="preserve">마음을 전하는 글을 써요</t>
  </si>
  <si>
    <r>
      <rPr>
        <sz val="9"/>
        <rFont val="WenQuanYi Zen Hei"/>
        <family val="2"/>
      </rPr>
      <t xml:space="preserve">소개하거나 마음을 전하는 글을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</si>
  <si>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소개하거나 마음을 전하는 글을 쓸 수 있다</t>
    </r>
    <r>
      <rPr>
        <sz val="9"/>
        <rFont val="맑은 고딕"/>
        <family val="0"/>
        <charset val="1"/>
      </rPr>
      <t xml:space="preserve">.</t>
    </r>
  </si>
  <si>
    <t xml:space="preserve">W-3-3-1, W-3-3-2, W-3-3-3, W-3-3-4</t>
  </si>
  <si>
    <r>
      <rPr>
        <sz val="9"/>
        <rFont val="맑은 고딕"/>
        <family val="0"/>
        <charset val="1"/>
      </rPr>
      <t xml:space="preserve">W-3-3-1 </t>
    </r>
    <r>
      <rPr>
        <sz val="9"/>
        <rFont val="WenQuanYi Zen Hei"/>
        <family val="2"/>
      </rPr>
      <t xml:space="preserve">자신을 소개하는 짧은 문단을 쓴다</t>
    </r>
    <r>
      <rPr>
        <sz val="9"/>
        <rFont val="맑은 고딕"/>
        <family val="0"/>
        <charset val="1"/>
      </rPr>
      <t xml:space="preserve">.
W-3-3-2 </t>
    </r>
    <r>
      <rPr>
        <sz val="9"/>
        <rFont val="WenQuanYi Zen Hei"/>
        <family val="2"/>
      </rPr>
      <t xml:space="preserve">친구나 가족을 소개하는 짧은 문단을 쓴다</t>
    </r>
    <r>
      <rPr>
        <sz val="9"/>
        <rFont val="맑은 고딕"/>
        <family val="0"/>
        <charset val="1"/>
      </rPr>
      <t xml:space="preserve">.
W-3-3-3 </t>
    </r>
    <r>
      <rPr>
        <sz val="9"/>
        <rFont val="WenQuanYi Zen Hei"/>
        <family val="2"/>
      </rPr>
      <t xml:space="preserve">고마운 마음을 전하는 짧은 문단을 쓴다</t>
    </r>
    <r>
      <rPr>
        <sz val="9"/>
        <rFont val="맑은 고딕"/>
        <family val="0"/>
        <charset val="1"/>
      </rPr>
      <t xml:space="preserve">.
W-3-3-4 </t>
    </r>
    <r>
      <rPr>
        <sz val="9"/>
        <rFont val="WenQuanYi Zen Hei"/>
        <family val="2"/>
      </rPr>
      <t xml:space="preserve">미안하거나 축하하는 마음을 짧은 문단으로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</si>
  <si>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자신을 소개하는 짧은 문단을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친구나 가족을 소개하는 짧은 문단을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고마운 마음을 전하는 짧은 문단을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</si>
  <si>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틀 채워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예시 답안 제공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받아쓰기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낱말 카드 조합</t>
    </r>
    <r>
      <rPr>
        <sz val="9"/>
        <rFont val="맑은 고딕"/>
        <family val="0"/>
        <charset val="1"/>
      </rPr>
      <t xml:space="preserve">)</t>
    </r>
  </si>
  <si>
    <t xml:space="preserve">마음 전하기</t>
  </si>
  <si>
    <r>
      <rPr>
        <sz val="9"/>
        <rFont val="WenQuanYi Zen Hei"/>
        <family val="2"/>
      </rPr>
      <t xml:space="preserve">음성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카드 조합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입력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자동 채점 한계 → 예시 답안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교사 확인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</si>
  <si>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</t>
    </r>
  </si>
  <si>
    <t xml:space="preserve">내 생각을 한 문장으로 써요</t>
  </si>
  <si>
    <r>
      <rPr>
        <sz val="9"/>
        <rFont val="WenQuanYi Zen Hei"/>
        <family val="2"/>
      </rPr>
      <t xml:space="preserve">간단하게 자신의 생각을 문장으로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</si>
  <si>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간단하게 자신의 생각을 문장으로 쓸 수 있다</t>
    </r>
    <r>
      <rPr>
        <sz val="9"/>
        <rFont val="맑은 고딕"/>
        <family val="0"/>
        <charset val="1"/>
      </rPr>
      <t xml:space="preserve">.</t>
    </r>
  </si>
  <si>
    <t xml:space="preserve">W-3-4-1, W-3-4-2</t>
  </si>
  <si>
    <r>
      <rPr>
        <sz val="9"/>
        <rFont val="맑은 고딕"/>
        <family val="0"/>
        <charset val="1"/>
      </rPr>
      <t xml:space="preserve">W-3-4-1 </t>
    </r>
    <r>
      <rPr>
        <sz val="9"/>
        <rFont val="WenQuanYi Zen Hei"/>
        <family val="2"/>
      </rPr>
      <t xml:space="preserve">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한국에 대해 배운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한국을 나타내는 것은 무엇일까요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태극기라고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형태로 쓴다</t>
    </r>
    <r>
      <rPr>
        <sz val="9"/>
        <rFont val="맑은 고딕"/>
        <family val="0"/>
        <charset val="1"/>
      </rPr>
      <t xml:space="preserve">.
W-3-4-2 </t>
    </r>
    <r>
      <rPr>
        <sz val="9"/>
        <rFont val="WenQuanYi Zen Hei"/>
        <family val="2"/>
      </rPr>
      <t xml:space="preserve">자신의 다짐과 생각을 쉬운 표현으로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앞으로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게 하겠습니다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</si>
  <si>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저는 태극기라고 생각합니다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저는 앞으로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게 하겠습니다
②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한국에 대해 배운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한국을 나타내는 것은 무엇일까요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태극기라고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형태로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자신의 다짐과 생각을 쉬운 표현으로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앞으로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게 하겠습니다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W-3-4-1·W-3-4-2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</si>
  <si>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t xml:space="preserve">생각 표현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</si>
  <si>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-13</t>
    </r>
  </si>
  <si>
    <t xml:space="preserve">주제에 맞게 두세 문장을 써요</t>
  </si>
  <si>
    <r>
      <rPr>
        <sz val="9"/>
        <rFont val="WenQuanYi Zen Hei"/>
        <family val="2"/>
      </rPr>
      <t xml:space="preserve">주제가 드러나게 짧은 글을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</si>
  <si>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주제가 드러나게 짧은 글을 쓸 수 있다</t>
    </r>
    <r>
      <rPr>
        <sz val="9"/>
        <rFont val="맑은 고딕"/>
        <family val="0"/>
        <charset val="1"/>
      </rPr>
      <t xml:space="preserve">.</t>
    </r>
  </si>
  <si>
    <t xml:space="preserve">W-4-1-1</t>
  </si>
  <si>
    <r>
      <rPr>
        <sz val="9"/>
        <rFont val="맑은 고딕"/>
        <family val="0"/>
        <charset val="1"/>
      </rPr>
      <t xml:space="preserve">W-4-1-1 </t>
    </r>
    <r>
      <rPr>
        <sz val="9"/>
        <rFont val="WenQuanYi Zen Hei"/>
        <family val="2"/>
      </rPr>
      <t xml:space="preserve">정해진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우리 주변 사람들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벗어나지 않고 두세 문장으로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</si>
  <si>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우리 주변 사람들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
② 정해진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우리 주변 사람들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벗어나지 않고 두세 문장으로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W-4-1-1)</t>
    </r>
  </si>
  <si>
    <t xml:space="preserve">주제 글쓰기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</si>
  <si>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</si>
  <si>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t xml:space="preserve">띄어쓰기와 조사를 바르게 써요</t>
  </si>
  <si>
    <r>
      <rPr>
        <sz val="9"/>
        <rFont val="WenQuanYi Zen Hei"/>
        <family val="2"/>
      </rPr>
      <t xml:space="preserve">비교적 어법에 맞게 단어나 문장을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</si>
  <si>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비교적 어법에 맞게 단어나 문장을 쓸 수 있다</t>
    </r>
    <r>
      <rPr>
        <sz val="9"/>
        <rFont val="맑은 고딕"/>
        <family val="0"/>
        <charset val="1"/>
      </rPr>
      <t xml:space="preserve">.</t>
    </r>
  </si>
  <si>
    <t xml:space="preserve">W-4-2-1, W-4-2-2</t>
  </si>
  <si>
    <r>
      <rPr>
        <sz val="9"/>
        <rFont val="맑은 고딕"/>
        <family val="0"/>
        <charset val="1"/>
      </rPr>
      <t xml:space="preserve">W-4-2-1 </t>
    </r>
    <r>
      <rPr>
        <sz val="9"/>
        <rFont val="WenQuanYi Zen Hei"/>
        <family val="2"/>
      </rPr>
      <t xml:space="preserve">낱말을 자연스럽게 이어 문장을 만든다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연결어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조사 포함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한 후에 등</t>
    </r>
    <r>
      <rPr>
        <sz val="9"/>
        <rFont val="맑은 고딕"/>
        <family val="0"/>
        <charset val="1"/>
      </rPr>
      <t xml:space="preserve">)
W-4-2-2 </t>
    </r>
    <r>
      <rPr>
        <sz val="9"/>
        <rFont val="WenQuanYi Zen Hei"/>
        <family val="2"/>
      </rPr>
      <t xml:space="preserve">문장을 알맞게 띄어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</si>
  <si>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연결어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조사 포함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
② 낱말을 자연스럽게 이어 문장을 만든다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연결어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조사 포함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한 후에 등</t>
    </r>
    <r>
      <rPr>
        <sz val="9"/>
        <rFont val="맑은 고딕"/>
        <family val="0"/>
        <charset val="1"/>
      </rPr>
      <t xml:space="preserve">)
③ </t>
    </r>
    <r>
      <rPr>
        <sz val="9"/>
        <rFont val="WenQuanYi Zen Hei"/>
        <family val="2"/>
      </rPr>
      <t xml:space="preserve">문장을 알맞게 띄어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W-4-2-1·W-4-2-2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</si>
  <si>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틀 채워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예시 답안 제공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띄어쓰기 표시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</si>
  <si>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</si>
  <si>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</si>
  <si>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t xml:space="preserve">그림일기를 써요</t>
  </si>
  <si>
    <r>
      <rPr>
        <sz val="9"/>
        <rFont val="WenQuanYi Zen Hei"/>
        <family val="2"/>
      </rPr>
      <t xml:space="preserve">자신의 경험과 감정이 드러나게 일기를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</si>
  <si>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자신의 경험과 감정이 드러나게 일기를 쓸 수 있다</t>
    </r>
    <r>
      <rPr>
        <sz val="9"/>
        <rFont val="맑은 고딕"/>
        <family val="0"/>
        <charset val="1"/>
      </rPr>
      <t xml:space="preserve">.</t>
    </r>
  </si>
  <si>
    <t xml:space="preserve">W-4-3-1, W-4-3-2</t>
  </si>
  <si>
    <r>
      <rPr>
        <sz val="9"/>
        <rFont val="맑은 고딕"/>
        <family val="0"/>
        <charset val="1"/>
      </rPr>
      <t xml:space="preserve">W-4-3-1 </t>
    </r>
    <r>
      <rPr>
        <sz val="9"/>
        <rFont val="WenQuanYi Zen Hei"/>
        <family val="2"/>
      </rPr>
      <t xml:space="preserve">오늘 또는 최근에 자신이 겪은 일을 두세 문장으로 쓴다</t>
    </r>
    <r>
      <rPr>
        <sz val="9"/>
        <rFont val="맑은 고딕"/>
        <family val="0"/>
        <charset val="1"/>
      </rPr>
      <t xml:space="preserve">.
W-4-3-2 </t>
    </r>
    <r>
      <rPr>
        <sz val="9"/>
        <rFont val="WenQuanYi Zen Hei"/>
        <family val="2"/>
      </rPr>
      <t xml:space="preserve">기분을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부끄럽다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걱정이 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속상하다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놀라다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사용하여 일기를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</si>
  <si>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부끄럽다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걱정이 되다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속상하다
② 오늘 또는 최근에 자신이 겪은 일을 두세 문장으로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기분을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부끄럽다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걱정이 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속상하다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놀라다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사용하여 일기를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W-4-3-1·W-4-3-2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</si>
  <si>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</si>
  <si>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</si>
  <si>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t xml:space="preserve">배운 내용을 정리해서 써요</t>
  </si>
  <si>
    <r>
      <rPr>
        <sz val="9"/>
        <rFont val="WenQuanYi Zen Hei"/>
        <family val="2"/>
      </rPr>
      <t xml:space="preserve">수업과 관련된 내용을 여러 문장으로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</si>
  <si>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수업과 관련된 내용을 여러 문장으로 쓸 수 있다</t>
    </r>
    <r>
      <rPr>
        <sz val="9"/>
        <rFont val="맑은 고딕"/>
        <family val="0"/>
        <charset val="1"/>
      </rPr>
      <t xml:space="preserve">.</t>
    </r>
  </si>
  <si>
    <t xml:space="preserve">W-4-4-1, W-4-4-2</t>
  </si>
  <si>
    <r>
      <rPr>
        <sz val="9"/>
        <rFont val="맑은 고딕"/>
        <family val="0"/>
        <charset val="1"/>
      </rPr>
      <t xml:space="preserve">W-4-4-1 </t>
    </r>
    <r>
      <rPr>
        <sz val="9"/>
        <rFont val="WenQuanYi Zen Hei"/>
        <family val="2"/>
      </rPr>
      <t xml:space="preserve">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한국에 대해 배운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한국을 나타내는 것은 무엇일까요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두세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태극기는 한국을 나타냅니다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무궁화도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W-4-4-2 </t>
    </r>
    <r>
      <rPr>
        <sz val="9"/>
        <rFont val="WenQuanYi Zen Hei"/>
        <family val="2"/>
      </rPr>
      <t xml:space="preserve">수업 활동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교통 안전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생활 안전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재난 안전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후 알게 된 점이나 느낀 점을 두세 문장으로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</si>
  <si>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태극기는 한국을 나타냅니다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무궁화도 있습니다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교통 안전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생활 안전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재난 안전
②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한국에 대해 배운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한국을 나타내는 것은 무엇일까요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두세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태극기는 한국을 나타냅니다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무궁화도 …
③ 수업 활동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교통 안전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생활 안전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재난 안전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후 알게 된 점이나 느낀 점을 두세 문장으로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W-4-4-1·W-4-4-2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</si>
  <si>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t xml:space="preserve">수업 정리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</si>
  <si>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</si>
  <si>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</si>
  <si>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</si>
  <si>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-03</t>
    </r>
  </si>
  <si>
    <t xml:space="preserve">교실 지시를 듣고 행동해요</t>
  </si>
  <si>
    <r>
      <rPr>
        <sz val="9"/>
        <rFont val="WenQuanYi Zen Hei"/>
        <family val="2"/>
      </rPr>
      <t xml:space="preserve">교실에서 사용하는 지시를 듣고 따를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</si>
  <si>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교실에서 사용하는 지시를 듣고 따를 수 있다</t>
    </r>
    <r>
      <rPr>
        <sz val="9"/>
        <rFont val="맑은 고딕"/>
        <family val="0"/>
        <charset val="1"/>
      </rPr>
      <t xml:space="preserve">.</t>
    </r>
  </si>
  <si>
    <t xml:space="preserve">L-1-3-1, L-1-3-2</t>
  </si>
  <si>
    <r>
      <rPr>
        <sz val="9"/>
        <rFont val="맑은 고딕"/>
        <family val="0"/>
        <charset val="1"/>
      </rPr>
      <t xml:space="preserve">L-1-3-1 </t>
    </r>
    <r>
      <rPr>
        <sz val="9"/>
        <rFont val="WenQuanYi Zen Hei"/>
        <family val="2"/>
      </rPr>
      <t xml:space="preserve">교실에서 사용하는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준비물을 꺼내세요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자리에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해당 행동을 수행한다</t>
    </r>
    <r>
      <rPr>
        <sz val="9"/>
        <rFont val="맑은 고딕"/>
        <family val="0"/>
        <charset val="1"/>
      </rPr>
      <t xml:space="preserve">.
L-1-3-2 </t>
    </r>
    <r>
      <rPr>
        <sz val="9"/>
        <rFont val="WenQuanYi Zen Hei"/>
        <family val="2"/>
      </rPr>
      <t xml:space="preserve">교실에서 방향을 포함한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오른손을 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앞으로 나오세요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</si>
  <si>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준비물을 꺼내세요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자리에 앉으세요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오른손을 드세요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앞으로 나오세요
② 교실에서 사용하는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준비물을 꺼내세요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자리에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해당 행동을 수행한다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교실에서 방향을 포함한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오른손을 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앞으로 나오세요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L-1-3-1·L-1-3-2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</si>
  <si>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</t>
    </r>
  </si>
  <si>
    <t xml:space="preserve">낱말을 듣고 그림을 찾아요</t>
  </si>
  <si>
    <r>
      <rPr>
        <sz val="9"/>
        <rFont val="WenQuanYi Zen Hei"/>
        <family val="2"/>
      </rPr>
      <t xml:space="preserve">소리를 듣고 단어를 식별할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</si>
  <si>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소리를 듣고 단어를 식별할 수 있다</t>
    </r>
    <r>
      <rPr>
        <sz val="9"/>
        <rFont val="맑은 고딕"/>
        <family val="0"/>
        <charset val="1"/>
      </rPr>
      <t xml:space="preserve">.</t>
    </r>
  </si>
  <si>
    <t xml:space="preserve">L-1-4-1</t>
  </si>
  <si>
    <r>
      <rPr>
        <sz val="9"/>
        <rFont val="맑은 고딕"/>
        <family val="0"/>
        <charset val="1"/>
      </rPr>
      <t xml:space="preserve">L-1-4-1 </t>
    </r>
    <r>
      <rPr>
        <sz val="9"/>
        <rFont val="WenQuanYi Zen Hei"/>
        <family val="2"/>
      </rPr>
      <t xml:space="preserve">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해당 그림이나 실물을 손가락으로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</si>
  <si>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체육관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
②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해당 그림이나 실물을 손가락으로 가리킨다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L-1-4-1)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</si>
  <si>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-05</t>
    </r>
  </si>
  <si>
    <t xml:space="preserve">묻고 답하는 대화를 들어요</t>
  </si>
  <si>
    <r>
      <rPr>
        <sz val="9"/>
        <rFont val="WenQuanYi Zen Hei"/>
        <family val="2"/>
      </rPr>
      <t xml:space="preserve">일상과 학교생활에서 자주 사용하는 기초적인 대화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</si>
  <si>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학교생활에서 자주 사용하는 기초적인 대화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</si>
  <si>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L-2-1-1 </t>
    </r>
    <r>
      <rPr>
        <sz val="9"/>
        <rFont val="WenQuanYi Zen Hei"/>
        <family val="2"/>
      </rPr>
      <t xml:space="preserve">도움을 요청하는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마트가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마트는 꽃집 옆에 있어요</t>
    </r>
    <r>
      <rPr>
        <sz val="9"/>
        <rFont val="맑은 고딕"/>
        <family val="0"/>
        <charset val="1"/>
      </rPr>
      <t xml:space="preserve">. , </t>
    </r>
    <r>
      <rPr>
        <sz val="9"/>
        <rFont val="WenQuanYi Zen Hei"/>
        <family val="2"/>
      </rPr>
      <t xml:space="preserve">화장실은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화장실은 공원 안에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질…
</t>
    </r>
    <r>
      <rPr>
        <sz val="9"/>
        <rFont val="맑은 고딕"/>
        <family val="0"/>
        <charset val="1"/>
      </rPr>
      <t xml:space="preserve">L-2-1-2 </t>
    </r>
    <r>
      <rPr>
        <sz val="9"/>
        <rFont val="WenQuanYi Zen Hei"/>
        <family val="2"/>
      </rPr>
      <t xml:space="preserve">정보를 묻는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안내된 정보를 고른다</t>
    </r>
    <r>
      <rPr>
        <sz val="9"/>
        <rFont val="맑은 고딕"/>
        <family val="0"/>
        <charset val="1"/>
      </rPr>
      <t xml:space="preserve">.
L-2-1-3 </t>
    </r>
    <r>
      <rPr>
        <sz val="9"/>
        <rFont val="WenQuanYi Zen Hei"/>
        <family val="2"/>
      </rPr>
      <t xml:space="preserve">감정을 나타내는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기분이 어때요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화가 나요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감정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</si>
  <si>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마트가 어디에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마트는 꽃집 옆에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화장실은 어디에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화장실은 공원 안에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 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마트는 어디에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도움을 요청하는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마트가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마트는 꽃집 옆에 있어요</t>
    </r>
    <r>
      <rPr>
        <sz val="9"/>
        <rFont val="맑은 고딕"/>
        <family val="0"/>
        <charset val="1"/>
      </rPr>
      <t xml:space="preserve">. , </t>
    </r>
    <r>
      <rPr>
        <sz val="9"/>
        <rFont val="WenQuanYi Zen Hei"/>
        <family val="2"/>
      </rPr>
      <t xml:space="preserve">화장실은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화장실은 공원 안…
③ 정보를 묻는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안내된 정보를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감정을 나타내는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기분이 어때요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화가 나요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감…</t>
    </r>
  </si>
  <si>
    <t xml:space="preserve">생활 대화</t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</si>
  <si>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</si>
  <si>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-06</t>
    </r>
  </si>
  <si>
    <t xml:space="preserve">수업 안내를 듣고 행동해요</t>
  </si>
  <si>
    <r>
      <rPr>
        <sz val="9"/>
        <rFont val="WenQuanYi Zen Hei"/>
        <family val="2"/>
      </rPr>
      <t xml:space="preserve">수업에서 자주 쓰는 문장을 듣고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</si>
  <si>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수업에서 자주 쓰는 문장을 듣고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</si>
  <si>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L-2-2-1 </t>
    </r>
    <r>
      <rPr>
        <sz val="9"/>
        <rFont val="WenQuanYi Zen Hei"/>
        <family val="2"/>
      </rPr>
      <t xml:space="preserve">교사의 수업 안내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종이를 접으세요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교과서를 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</si>
  <si>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종이를 접으세요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교과서를 펴세요
② 교사의 수업 안내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종이를 접으세요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교과서를 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L-2-2-1)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</si>
  <si>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06 </t>
    </r>
    <r>
      <rPr>
        <sz val="9"/>
        <rFont val="WenQuanYi Zen Hei"/>
        <family val="2"/>
      </rPr>
      <t xml:space="preserve">「선생님의 안내를 듣고 준비해요」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추정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진단 발문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교과서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쪽을 펴세요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와 같음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-06</t>
    </r>
    <r>
      <rPr>
        <sz val="9"/>
        <rFont val="WenQuanYi Zen Hei"/>
        <family val="2"/>
      </rPr>
      <t xml:space="preserve">일 가능성도 있어 학년군 확인 필요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</si>
  <si>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-07</t>
    </r>
  </si>
  <si>
    <t xml:space="preserve">위치와 모양을 듣고 찾아요</t>
  </si>
  <si>
    <r>
      <rPr>
        <sz val="9"/>
        <rFont val="WenQuanYi Zen Hei"/>
        <family val="2"/>
      </rPr>
      <t xml:space="preserve">주변의 사물과 대상에 관한 간단한 말을 듣고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</si>
  <si>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주변의 사물과 대상에 관한 간단한 말을 듣고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</si>
  <si>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L-2-3-1 </t>
    </r>
    <r>
      <rPr>
        <sz val="9"/>
        <rFont val="WenQuanYi Zen Hei"/>
        <family val="2"/>
      </rPr>
      <t xml:space="preserve">주변 사물의 위치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의자 옆에 피아노가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그림을 손가락으로 가리킨다</t>
    </r>
    <r>
      <rPr>
        <sz val="9"/>
        <rFont val="맑은 고딕"/>
        <family val="0"/>
        <charset val="1"/>
      </rPr>
      <t xml:space="preserve">.
L-2-3-2 </t>
    </r>
    <r>
      <rPr>
        <sz val="9"/>
        <rFont val="WenQuanYi Zen Hei"/>
        <family val="2"/>
      </rPr>
      <t xml:space="preserve">주변 사물의 색깔이나 크기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높은 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파란 자동차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맞는 사물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</si>
  <si>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의자 옆에 피아노가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높은 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파란 자동차
② 주변 사물의 위치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의자 옆에 피아노가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그림을 손가락으로 가리킨다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주변 사물의 색깔이나 크기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높은 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파란 자동차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맞는 사물 그림을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L-2-3-1·L-2-3-2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</si>
  <si>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-08</t>
    </r>
  </si>
  <si>
    <t xml:space="preserve">천천히 듣고 질문에 답해요</t>
  </si>
  <si>
    <r>
      <rPr>
        <sz val="9"/>
        <rFont val="맑은 고딕"/>
        <family val="0"/>
        <charset val="1"/>
      </rPr>
      <t xml:space="preserve">L-2-4-1 </t>
    </r>
    <r>
      <rPr>
        <sz val="9"/>
        <rFont val="WenQuanYi Zen Hei"/>
        <family val="2"/>
      </rPr>
      <t xml:space="preserve">천천히 말한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크레파스와 색연필이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문장과 맞는 그림을 고른다</t>
    </r>
    <r>
      <rPr>
        <sz val="9"/>
        <rFont val="맑은 고딕"/>
        <family val="0"/>
        <charset val="1"/>
      </rPr>
      <t xml:space="preserve">.
L-2-4-2 </t>
    </r>
    <r>
      <rPr>
        <sz val="9"/>
        <rFont val="WenQuanYi Zen Hei"/>
        <family val="2"/>
      </rPr>
      <t xml:space="preserve">천천히 말한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무슨 요일이예요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답한다</t>
    </r>
    <r>
      <rPr>
        <sz val="9"/>
        <rFont val="맑은 고딕"/>
        <family val="0"/>
        <charset val="1"/>
      </rPr>
      <t xml:space="preserve">.
L-2-4-3 </t>
    </r>
    <r>
      <rPr>
        <sz val="9"/>
        <rFont val="WenQuanYi Zen Hei"/>
        <family val="2"/>
      </rPr>
      <t xml:space="preserve">천천히 말한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부모님께 보여 드리세요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큰 소리로 말하세요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</si>
  <si>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가방 안에 크레파스와 색연필이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오늘은 무슨 요일이예요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부모님께 보여 드리세요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큰 소리로 말하세요
② 천천히 말한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크레파스와 색연필이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문장과 맞는 그림을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천천히 말한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무슨 요일이예요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천천히 말한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부모님께 보여 드리세요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큰 소리로 말하세요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</si>
  <si>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</si>
  <si>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</t>
    </r>
  </si>
  <si>
    <t xml:space="preserve">체험학습과 생일 초대 이야기를 들어요</t>
  </si>
  <si>
    <r>
      <rPr>
        <sz val="9"/>
        <rFont val="WenQuanYi Zen Hei"/>
        <family val="2"/>
      </rPr>
      <t xml:space="preserve">친숙한 주제에 관한 대화를 듣고 내용을 짐작할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</si>
  <si>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주제에 관한 대화를 듣고 내용을 짐작할 수 있다</t>
    </r>
    <r>
      <rPr>
        <sz val="9"/>
        <rFont val="맑은 고딕"/>
        <family val="0"/>
        <charset val="1"/>
      </rPr>
      <t xml:space="preserve">.</t>
    </r>
  </si>
  <si>
    <t xml:space="preserve">L-3-1-1, L-3-1-2</t>
  </si>
  <si>
    <r>
      <rPr>
        <sz val="9"/>
        <rFont val="맑은 고딕"/>
        <family val="0"/>
        <charset val="1"/>
      </rPr>
      <t xml:space="preserve">L-3-1-1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 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생일초대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질문에 알맞게 답한다</t>
    </r>
    <r>
      <rPr>
        <sz val="9"/>
        <rFont val="맑은 고딕"/>
        <family val="0"/>
        <charset val="1"/>
      </rPr>
      <t xml:space="preserve">.
L-3-1-2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 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생일초대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</si>
  <si>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현장체험학습 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생일초대
② 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 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생일초대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질문에 알맞게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 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생일초대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L-3-1-1·L-3-1-2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</si>
  <si>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</si>
  <si>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</t>
    </r>
  </si>
  <si>
    <t xml:space="preserve">겪은 일을 듣고 순서대로 놓아요</t>
  </si>
  <si>
    <r>
      <rPr>
        <sz val="9"/>
        <rFont val="WenQuanYi Zen Hei"/>
        <family val="2"/>
      </rPr>
      <t xml:space="preserve">겪은 일에 관한 이야기를 듣고 대강의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</si>
  <si>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일에 관한 이야기를 듣고 대강의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</si>
  <si>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</si>
  <si>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</t>
    </r>
  </si>
  <si>
    <t xml:space="preserve">그림을 보며 계획 이야기를 들어요</t>
  </si>
  <si>
    <r>
      <rPr>
        <sz val="9"/>
        <rFont val="WenQuanYi Zen Hei"/>
        <family val="2"/>
      </rPr>
      <t xml:space="preserve">단서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주어진 짧은 이야기를 듣고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</si>
  <si>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주어진 짧은 이야기를 듣고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</si>
  <si>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L-3-3-1 </t>
    </r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새해 계획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인물과 행동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다짐했다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공부를 열심히 하겠다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알맞게 연결한다</t>
    </r>
    <r>
      <rPr>
        <sz val="9"/>
        <rFont val="맑은 고딕"/>
        <family val="0"/>
        <charset val="1"/>
      </rPr>
      <t xml:space="preserve">.
L-3-3-2 </t>
    </r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할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행사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무엇을 할 것인가요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가족들이 무엇을 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답을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</si>
  <si>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새해 계획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다짐했다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공부를 열심히 하겠다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방학동안 할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행사
② 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새해 계획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인물과 행동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다짐했다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공부를 열심히 하겠다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알맞게 연결한다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할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행사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무엇을 할 것인가요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가족들이 무엇…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L-3-3-1·L-3-3-2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</si>
  <si>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</si>
  <si>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</t>
    </r>
  </si>
  <si>
    <t xml:space="preserve">가게 대화와 일기 예보를 들어요</t>
  </si>
  <si>
    <r>
      <rPr>
        <sz val="9"/>
        <rFont val="WenQuanYi Zen Hei"/>
        <family val="2"/>
      </rPr>
      <t xml:space="preserve">일상생활에서의 간단한 대화를 듣고 주요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</si>
  <si>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일상생활에서의 간단한 대화를 듣고 주요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</si>
  <si>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L-3-4-1 </t>
    </r>
    <r>
      <rPr>
        <sz val="9"/>
        <rFont val="WenQuanYi Zen Hei"/>
        <family val="2"/>
      </rPr>
      <t xml:space="preserve">대화나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마트에서 물건 사기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했는지 보기에서 각각 고른다</t>
    </r>
    <r>
      <rPr>
        <sz val="9"/>
        <rFont val="맑은 고딕"/>
        <family val="0"/>
        <charset val="1"/>
      </rPr>
      <t xml:space="preserve">.
L-3-4-2 </t>
    </r>
    <r>
      <rPr>
        <sz val="9"/>
        <rFont val="WenQuanYi Zen Hei"/>
        <family val="2"/>
      </rPr>
      <t xml:space="preserve">들은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지역별 일기 예보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질문에 맞는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맑은 날씨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흐린 날씨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비오는 날씨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</si>
  <si>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마트에서 물건 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지역별 일기 예보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맑은 날씨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흐린 날씨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비오는 날씨
② 대화나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마트에서 물건 사기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했는지 보기에서 각각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들은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지역별 일기 예보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질문에 맞는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맑은 날씨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흐린 날씨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비오는 날씨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L-3-4-1·L-3-4-2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</si>
  <si>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</si>
  <si>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-13</t>
    </r>
  </si>
  <si>
    <t xml:space="preserve">수업 이야기를 듣고 내용을 알아요</t>
  </si>
  <si>
    <r>
      <rPr>
        <sz val="9"/>
        <rFont val="WenQuanYi Zen Hei"/>
        <family val="2"/>
      </rPr>
      <t xml:space="preserve">수업과 관련된 주제의 이야기를 듣고 대강의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</si>
  <si>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수업과 관련된 주제의 이야기를 듣고 대강의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</si>
  <si>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L-4-1-1 </t>
    </r>
    <r>
      <rPr>
        <sz val="9"/>
        <rFont val="WenQuanYi Zen Hei"/>
        <family val="2"/>
      </rPr>
      <t xml:space="preserve">수업과 관련된 주제의 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육지에서 사는 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땅에서 사는 동물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보기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생김새</t>
    </r>
    <r>
      <rPr>
        <sz val="9"/>
        <rFont val="맑은 고딕"/>
        <family val="0"/>
        <charset val="1"/>
      </rPr>
      <t xml:space="preserve">, …
L-4-1-2 </t>
    </r>
    <r>
      <rPr>
        <sz val="9"/>
        <rFont val="WenQuanYi Zen Hei"/>
        <family val="2"/>
      </rPr>
      <t xml:space="preserve">수업과 관련한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동물의 한살이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순서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성장과정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애벌레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번데기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</si>
  <si>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육지에서 사는 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땅에서 사는 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사는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생김새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먹이
② 수업과 관련된 주제의 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육지에서 사는 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땅에서 사는 동물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이야기인가요…
③ 수업과 관련한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동물의 한살이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순서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성장과정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애벌레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번데기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L-4-1-1·L-4-1-2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</si>
  <si>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</t>
    </r>
  </si>
  <si>
    <t xml:space="preserve">교과 내용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</si>
  <si>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-16,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</si>
  <si>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-14</t>
    </r>
  </si>
  <si>
    <t xml:space="preserve">대피 방송을 듣고 행동해요</t>
  </si>
  <si>
    <r>
      <rPr>
        <sz val="9"/>
        <rFont val="WenQuanYi Zen Hei"/>
        <family val="2"/>
      </rPr>
      <t xml:space="preserve">정보를 알리는 말을 듣고 주요 내용과 세부 내용을 찾을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</si>
  <si>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알리는 말을 듣고 주요 내용과 세부 내용을 찾을 수 있다</t>
    </r>
    <r>
      <rPr>
        <sz val="9"/>
        <rFont val="맑은 고딕"/>
        <family val="0"/>
        <charset val="1"/>
      </rPr>
      <t xml:space="preserve">.</t>
    </r>
  </si>
  <si>
    <t xml:space="preserve">L-4-2-1, L-4-2-2</t>
  </si>
  <si>
    <r>
      <rPr>
        <sz val="9"/>
        <rFont val="맑은 고딕"/>
        <family val="0"/>
        <charset val="1"/>
      </rPr>
      <t xml:space="preserve">L-4-2-1 </t>
    </r>
    <r>
      <rPr>
        <sz val="9"/>
        <rFont val="WenQuanYi Zen Hei"/>
        <family val="2"/>
      </rPr>
      <t xml:space="preserve">정보를 알리는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마을에 대한 설명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내용과 세부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농촌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산촌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찾는다</t>
    </r>
    <r>
      <rPr>
        <sz val="9"/>
        <rFont val="맑은 고딕"/>
        <family val="0"/>
        <charset val="1"/>
      </rPr>
      <t xml:space="preserve">.
L-4-2-2 </t>
    </r>
    <r>
      <rPr>
        <sz val="9"/>
        <rFont val="WenQuanYi Zen Hei"/>
        <family val="2"/>
      </rPr>
      <t xml:space="preserve">들은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재난 대피 방송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따라 필요한 정보를 골라 행동으로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코와 입을 막기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운동장에 나가기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반응한다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</si>
  <si>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마을에 대한 설명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농촌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산촌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재난 대피 방송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코와 입을 막기
② 정보를 알리는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마을에 대한 설명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내용과 세부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농촌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산촌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찾는다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들은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재난 대피 방송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따라 필요한 정보를 골라 행동으로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코와 입을 막기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운동장에 나가기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반응한다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L-4-2-1·L-4-2-2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</si>
  <si>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t xml:space="preserve">안전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</si>
  <si>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-15</t>
    </r>
  </si>
  <si>
    <t xml:space="preserve">책과 위인 소개를 들어요</t>
  </si>
  <si>
    <r>
      <rPr>
        <sz val="9"/>
        <rFont val="WenQuanYi Zen Hei"/>
        <family val="2"/>
      </rPr>
      <t xml:space="preserve">이야기나 발표를 듣고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</si>
  <si>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이야기나 발표를 듣고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</si>
  <si>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L-4-3-1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발표자가 소개한 대상을 보기에서 고른다</t>
    </r>
    <r>
      <rPr>
        <sz val="9"/>
        <rFont val="맑은 고딕"/>
        <family val="0"/>
        <charset val="1"/>
      </rPr>
      <t xml:space="preserve">.
L-4-3-2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 내용과 맞는 그림을 모두 고른다</t>
    </r>
    <r>
      <rPr>
        <sz val="9"/>
        <rFont val="맑은 고딕"/>
        <family val="0"/>
        <charset val="1"/>
      </rPr>
      <t xml:space="preserve">.
L-4-3-3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들은 내용에 대한 사실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</si>
  <si>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발표자가 소개한 대상을 보기에서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 내용과 맞는 그림을 모두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들은 내용에 대한 사실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이…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</si>
  <si>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-16</t>
    </r>
  </si>
  <si>
    <t xml:space="preserve">약속하는 대화를 듣고 목적을 알아요</t>
  </si>
  <si>
    <r>
      <rPr>
        <sz val="9"/>
        <rFont val="WenQuanYi Zen Hei"/>
        <family val="2"/>
      </rPr>
      <t xml:space="preserve">다소 긴 대화를 듣고 상황과 목적을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</si>
  <si>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다소 긴 대화를 듣고 상황과 목적을 이해할 수 있다</t>
    </r>
    <r>
      <rPr>
        <sz val="9"/>
        <rFont val="맑은 고딕"/>
        <family val="0"/>
        <charset val="1"/>
      </rPr>
      <t xml:space="preserve">.</t>
    </r>
  </si>
  <si>
    <t xml:space="preserve">L-4-4-1</t>
  </si>
  <si>
    <r>
      <rPr>
        <sz val="9"/>
        <rFont val="맑은 고딕"/>
        <family val="0"/>
        <charset val="1"/>
      </rPr>
      <t xml:space="preserve">L-4-4-1 </t>
    </r>
    <r>
      <rPr>
        <sz val="9"/>
        <rFont val="WenQuanYi Zen Hei"/>
        <family val="2"/>
      </rPr>
      <t xml:space="preserve">다소 긴 대화나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약속을 정하는 대화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그 상황이나 목적을 대략적으로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</si>
  <si>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약속을 정하는 대화
② 다소 긴 대화나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약속을 정하는 대화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그 상황이나 목적을 대략적으로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L-4-4-1)</t>
    </r>
  </si>
  <si>
    <t xml:space="preserve">약속</t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</si>
  <si>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-19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</si>
  <si>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-01</t>
    </r>
  </si>
  <si>
    <t xml:space="preserve">교실 물건과 동물 이름을 말해요</t>
  </si>
  <si>
    <r>
      <rPr>
        <sz val="9"/>
        <rFont val="맑은 고딕"/>
        <family val="0"/>
        <charset val="1"/>
      </rPr>
      <t xml:space="preserve">S-1-1-1 </t>
    </r>
    <r>
      <rPr>
        <sz val="9"/>
        <rFont val="WenQuanYi Zen Hei"/>
        <family val="2"/>
      </rPr>
      <t xml:space="preserve">가리키는 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이름을 한 단어로 말한다</t>
    </r>
    <r>
      <rPr>
        <sz val="9"/>
        <rFont val="맑은 고딕"/>
        <family val="0"/>
        <charset val="1"/>
      </rPr>
      <t xml:space="preserve">.
S-1-1-2 </t>
    </r>
    <r>
      <rPr>
        <sz val="9"/>
        <rFont val="WenQuanYi Zen Hei"/>
        <family val="2"/>
      </rPr>
      <t xml:space="preserve">그림 카드를 보고 동물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코끼리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S-1-1-3 </t>
    </r>
    <r>
      <rPr>
        <sz val="9"/>
        <rFont val="WenQuanYi Zen Hei"/>
        <family val="2"/>
      </rPr>
      <t xml:space="preserve">자신이 가진 물건의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</si>
  <si>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코끼리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기린
② 가리키는 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이름을 한 단어로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 카드를 보고 동물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코끼리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자신이 가진 물건의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</si>
  <si>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</si>
  <si>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-03</t>
    </r>
  </si>
  <si>
    <t xml:space="preserve">짧게 대답해요</t>
  </si>
  <si>
    <r>
      <rPr>
        <sz val="9"/>
        <rFont val="WenQuanYi Zen Hei"/>
        <family val="2"/>
      </rPr>
      <t xml:space="preserve">간단한 질문에 한두 단어로 대답할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</si>
  <si>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간단한 질문에 한두 단어로 대답할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</si>
  <si>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S-1-3-1 </t>
    </r>
    <r>
      <rPr>
        <sz val="9"/>
        <rFont val="WenQuanYi Zen Hei"/>
        <family val="2"/>
      </rPr>
      <t xml:space="preserve">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이름이 뭐니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00</t>
    </r>
    <r>
      <rPr>
        <sz val="9"/>
        <rFont val="WenQuanYi Zen Hei"/>
        <family val="2"/>
      </rPr>
      <t xml:space="preserve">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S-1-3-2 </t>
    </r>
    <r>
      <rPr>
        <sz val="9"/>
        <rFont val="WenQuanYi Zen Hei"/>
        <family val="2"/>
      </rPr>
      <t xml:space="preserve">나이를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몇 살이니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숫자나 짧은 문장</t>
    </r>
    <r>
      <rPr>
        <sz val="9"/>
        <rFont val="맑은 고딕"/>
        <family val="0"/>
        <charset val="1"/>
      </rPr>
      <t xml:space="preserve">(10, </t>
    </r>
    <r>
      <rPr>
        <sz val="9"/>
        <rFont val="WenQuanYi Zen Hei"/>
        <family val="2"/>
      </rPr>
      <t xml:space="preserve">열 살이에요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
S-1-3-3 </t>
    </r>
    <r>
      <rPr>
        <sz val="9"/>
        <rFont val="WenQuanYi Zen Hei"/>
        <family val="2"/>
      </rPr>
      <t xml:space="preserve">물건의 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이건 뭐야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에 한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필통이에요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</si>
  <si>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이름이 뭐니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00</t>
    </r>
    <r>
      <rPr>
        <sz val="9"/>
        <rFont val="WenQuanYi Zen Hei"/>
        <family val="2"/>
      </rPr>
      <t xml:space="preserve">예요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몇 살이니</t>
    </r>
    <r>
      <rPr>
        <sz val="9"/>
        <rFont val="맑은 고딕"/>
        <family val="0"/>
        <charset val="1"/>
      </rPr>
      <t xml:space="preserve">?, 10, </t>
    </r>
    <r>
      <rPr>
        <sz val="9"/>
        <rFont val="WenQuanYi Zen Hei"/>
        <family val="2"/>
      </rPr>
      <t xml:space="preserve">열 살이에요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이건 뭐야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이름이 뭐니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00</t>
    </r>
    <r>
      <rPr>
        <sz val="9"/>
        <rFont val="WenQuanYi Zen Hei"/>
        <family val="2"/>
      </rPr>
      <t xml:space="preserve">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나이를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몇 살이니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숫자나 짧은 문장</t>
    </r>
    <r>
      <rPr>
        <sz val="9"/>
        <rFont val="맑은 고딕"/>
        <family val="0"/>
        <charset val="1"/>
      </rPr>
      <t xml:space="preserve">(10, </t>
    </r>
    <r>
      <rPr>
        <sz val="9"/>
        <rFont val="WenQuanYi Zen Hei"/>
        <family val="2"/>
      </rPr>
      <t xml:space="preserve">열 살이에요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물건의 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이건 뭐야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에 한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필통이에요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</si>
  <si>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-04</t>
    </r>
  </si>
  <si>
    <r>
      <rPr>
        <sz val="9"/>
        <rFont val="맑은 고딕"/>
        <family val="0"/>
        <charset val="1"/>
      </rPr>
      <t xml:space="preserve">S-1-4-1 </t>
    </r>
    <r>
      <rPr>
        <sz val="9"/>
        <rFont val="WenQuanYi Zen Hei"/>
        <family val="2"/>
      </rPr>
      <t xml:space="preserve">활동 중 필요한 것이 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휴지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색연필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말하여 요구한다</t>
    </r>
    <r>
      <rPr>
        <sz val="9"/>
        <rFont val="맑은 고딕"/>
        <family val="0"/>
        <charset val="1"/>
      </rPr>
      <t xml:space="preserve">.
S-1-4-2 </t>
    </r>
    <r>
      <rPr>
        <sz val="9"/>
        <rFont val="WenQuanYi Zen Hei"/>
        <family val="2"/>
      </rPr>
      <t xml:space="preserve">하고 싶은 활동을 한 단어나 짧은 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축구하자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말한다</t>
    </r>
    <r>
      <rPr>
        <sz val="9"/>
        <rFont val="맑은 고딕"/>
        <family val="0"/>
        <charset val="1"/>
      </rPr>
      <t xml:space="preserve">.
S-1-4-3 </t>
    </r>
    <r>
      <rPr>
        <sz val="9"/>
        <rFont val="WenQuanYi Zen Hei"/>
        <family val="2"/>
      </rPr>
      <t xml:space="preserve">싫거나 어려운 상황에서 거절이나 도움 요청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</si>
  <si>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휴지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색연필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축구하자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싫어요
② 활동 중 필요한 것이 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휴지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색연필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말하여 요구한다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하고 싶은 활동을 한 단어나 짧은 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축구하자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싫거나 어려운 상황에서 거절이나 도움 요청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</si>
  <si>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</si>
  <si>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-06</t>
    </r>
  </si>
  <si>
    <t xml:space="preserve">같이 하자고 말하고 허락을 구해요</t>
  </si>
  <si>
    <r>
      <rPr>
        <sz val="9"/>
        <rFont val="WenQuanYi Zen Hei"/>
        <family val="2"/>
      </rPr>
      <t xml:space="preserve">일상과 학교생활에서 자주 사용하는 문장으로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</si>
  <si>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학교생활에서 자주 사용하는 문장으로 말할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</si>
  <si>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S-2-1-1 </t>
    </r>
    <r>
      <rPr>
        <sz val="9"/>
        <rFont val="WenQuanYi Zen Hei"/>
        <family val="2"/>
      </rPr>
      <t xml:space="preserve">제안하는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나랑 같이 축구할래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나랑 같이 놀이할래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S-2-1-2 </t>
    </r>
    <r>
      <rPr>
        <sz val="9"/>
        <rFont val="WenQuanYi Zen Hei"/>
        <family val="2"/>
      </rPr>
      <t xml:space="preserve">학교 생활에서 허락을 구하는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 가도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물 마셔도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먹어도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S-2-1-3 </t>
    </r>
    <r>
      <rPr>
        <sz val="9"/>
        <rFont val="WenQuanYi Zen Hei"/>
        <family val="2"/>
      </rPr>
      <t xml:space="preserve">나의 하루 일과에 대해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아침에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시에 일어나요</t>
    </r>
    <r>
      <rPr>
        <sz val="9"/>
        <rFont val="맑은 고딕"/>
        <family val="0"/>
        <charset val="1"/>
      </rPr>
      <t xml:space="preserve">. 8</t>
    </r>
    <r>
      <rPr>
        <sz val="9"/>
        <rFont val="WenQuanYi Zen Hei"/>
        <family val="2"/>
      </rPr>
      <t xml:space="preserve">시에 학교에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</si>
  <si>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나랑 같이 축구할래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나랑 같이 놀이할래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아침에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시에 일어나요</t>
    </r>
    <r>
      <rPr>
        <sz val="9"/>
        <rFont val="맑은 고딕"/>
        <family val="0"/>
        <charset val="1"/>
      </rPr>
      <t xml:space="preserve">, 8</t>
    </r>
    <r>
      <rPr>
        <sz val="9"/>
        <rFont val="WenQuanYi Zen Hei"/>
        <family val="2"/>
      </rPr>
      <t xml:space="preserve">시에 학교에 가요
② 제안하는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나랑 같이 축구할래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나랑 같이 놀이할래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학교 생활에서 허락을 구하는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 가도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물 마셔도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먹어도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나의 하루 일과에 대해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아침에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시에 일어나요</t>
    </r>
    <r>
      <rPr>
        <sz val="9"/>
        <rFont val="맑은 고딕"/>
        <family val="0"/>
        <charset val="1"/>
      </rPr>
      <t xml:space="preserve">. 8</t>
    </r>
    <r>
      <rPr>
        <sz val="9"/>
        <rFont val="WenQuanYi Zen Hei"/>
        <family val="2"/>
      </rPr>
      <t xml:space="preserve">시에 학교에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</si>
  <si>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제안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허락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</si>
  <si>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</t>
    </r>
  </si>
  <si>
    <r>
      <rPr>
        <b val="true"/>
        <sz val="9"/>
        <rFont val="WenQuanYi Zen Hei"/>
        <family val="2"/>
      </rPr>
      <t xml:space="preserve">날짜</t>
    </r>
    <r>
      <rPr>
        <b val="true"/>
        <sz val="9"/>
        <rFont val="맑은 고딕"/>
        <family val="0"/>
        <charset val="1"/>
      </rPr>
      <t xml:space="preserve">, </t>
    </r>
    <r>
      <rPr>
        <b val="true"/>
        <sz val="9"/>
        <rFont val="WenQuanYi Zen Hei"/>
        <family val="2"/>
      </rPr>
      <t xml:space="preserve">시간</t>
    </r>
    <r>
      <rPr>
        <b val="true"/>
        <sz val="9"/>
        <rFont val="맑은 고딕"/>
        <family val="0"/>
        <charset val="1"/>
      </rPr>
      <t xml:space="preserve">, </t>
    </r>
    <r>
      <rPr>
        <b val="true"/>
        <sz val="9"/>
        <rFont val="WenQuanYi Zen Hei"/>
        <family val="2"/>
      </rPr>
      <t xml:space="preserve">가격을 말해요</t>
    </r>
  </si>
  <si>
    <r>
      <rPr>
        <sz val="9"/>
        <rFont val="WenQuanYi Zen Hei"/>
        <family val="2"/>
      </rPr>
      <t xml:space="preserve">일상생활에서 필요한 질문에 간단한 문장으로 대답할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</si>
  <si>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일상생활에서 필요한 질문에 간단한 문장으로 대답할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</si>
  <si>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S-2-2-1 </t>
    </r>
    <r>
      <rPr>
        <sz val="9"/>
        <rFont val="WenQuanYi Zen Hei"/>
        <family val="2"/>
      </rPr>
      <t xml:space="preserve">날짜와 시간을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몇일이에요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지금 몇 시에요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일이에요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지금은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
S-2-2-2 </t>
    </r>
    <r>
      <rPr>
        <sz val="9"/>
        <rFont val="WenQuanYi Zen Hei"/>
        <family val="2"/>
      </rPr>
      <t xml:space="preserve">전화번호를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전화번호가 뭐야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간단한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 전화번호는 </t>
    </r>
    <r>
      <rPr>
        <sz val="9"/>
        <rFont val="맑은 고딕"/>
        <family val="0"/>
        <charset val="1"/>
      </rPr>
      <t xml:space="preserve">000-0000-0000</t>
    </r>
    <r>
      <rPr>
        <sz val="9"/>
        <rFont val="WenQuanYi Zen Hei"/>
        <family val="2"/>
      </rPr>
      <t xml:space="preserve">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
S-2-2-3 </t>
    </r>
    <r>
      <rPr>
        <sz val="9"/>
        <rFont val="WenQuanYi Zen Hei"/>
        <family val="2"/>
      </rPr>
      <t xml:space="preserve">가격을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얼마예요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천원이에요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</si>
  <si>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오늘은 몇일이에요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지금 몇 시에요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오늘은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일이에요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지금은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분이에요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전화번호가 뭐야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내 전화번호는 </t>
    </r>
    <r>
      <rPr>
        <sz val="9"/>
        <rFont val="맑은 고딕"/>
        <family val="0"/>
        <charset val="1"/>
      </rPr>
      <t xml:space="preserve">000-0000-0000</t>
    </r>
    <r>
      <rPr>
        <sz val="9"/>
        <rFont val="WenQuanYi Zen Hei"/>
        <family val="2"/>
      </rPr>
      <t xml:space="preserve">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이것은 얼마예요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날짜와 시간을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몇일이에요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지금 몇 시에요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일이에요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지금은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분이…
③ 전화번호를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전화번호가 뭐야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간단한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 전화번호는 </t>
    </r>
    <r>
      <rPr>
        <sz val="9"/>
        <rFont val="맑은 고딕"/>
        <family val="0"/>
        <charset val="1"/>
      </rPr>
      <t xml:space="preserve">000-0000-0000</t>
    </r>
    <r>
      <rPr>
        <sz val="9"/>
        <rFont val="WenQuanYi Zen Hei"/>
        <family val="2"/>
      </rPr>
      <t xml:space="preserve">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가격을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얼마예요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천원이에요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</si>
  <si>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</si>
  <si>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-08</t>
    </r>
  </si>
  <si>
    <t xml:space="preserve">학교생활에 필요한 것을 묻고 답해요</t>
  </si>
  <si>
    <r>
      <rPr>
        <sz val="9"/>
        <rFont val="WenQuanYi Zen Hei"/>
        <family val="2"/>
      </rPr>
      <t xml:space="preserve">학교생활에서 필요한 정보를 요구하는 질문과 대답을 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</si>
  <si>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학교생활에서 필요한 정보를 요구하는 질문과 대답을 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</si>
  <si>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S-2-3-1 </t>
    </r>
    <r>
      <rPr>
        <sz val="9"/>
        <rFont val="WenQuanYi Zen Hei"/>
        <family val="2"/>
      </rPr>
      <t xml:space="preserve">활동 방법을 모를 때 방법을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어떻게 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해당 질문에 대한 대답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가위로 잘라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풀로 붙여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S-2-3-2 </t>
    </r>
    <r>
      <rPr>
        <sz val="9"/>
        <rFont val="WenQuanYi Zen Hei"/>
        <family val="2"/>
      </rPr>
      <t xml:space="preserve">수업 준비물의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색연필 어디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해당 질문에 대한 대답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 위에 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S-2-3-3 </t>
    </r>
    <r>
      <rPr>
        <sz val="9"/>
        <rFont val="WenQuanYi Zen Hei"/>
        <family val="2"/>
      </rPr>
      <t xml:space="preserve">교실의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보건실이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해당 질문에 대한 대답</t>
    </r>
    <r>
      <rPr>
        <sz val="9"/>
        <rFont val="맑은 고딕"/>
        <family val="0"/>
        <charset val="1"/>
      </rPr>
      <t xml:space="preserve">(1</t>
    </r>
    <r>
      <rPr>
        <sz val="9"/>
        <rFont val="WenQuanYi Zen Hei"/>
        <family val="2"/>
      </rPr>
      <t xml:space="preserve">층에 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S-2-3-4 </t>
    </r>
    <r>
      <rPr>
        <sz val="9"/>
        <rFont val="WenQuanYi Zen Hei"/>
        <family val="2"/>
      </rPr>
      <t xml:space="preserve">교사나 친구에게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누구의 가방이에요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몇 쪽이에요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묻거나 해당 질문에 대한 대답</t>
    </r>
    <r>
      <rPr>
        <sz val="9"/>
        <rFont val="맑은 고딕"/>
        <family val="0"/>
        <charset val="1"/>
      </rPr>
      <t xml:space="preserve">(00</t>
    </r>
    <r>
      <rPr>
        <sz val="9"/>
        <rFont val="WenQuanYi Zen Hei"/>
        <family val="2"/>
      </rPr>
      <t xml:space="preserve">의 가방이야</t>
    </r>
    <r>
      <rPr>
        <sz val="9"/>
        <rFont val="맑은 고딕"/>
        <family val="0"/>
        <charset val="1"/>
      </rPr>
      <t xml:space="preserve">. 68</t>
    </r>
    <r>
      <rPr>
        <sz val="9"/>
        <rFont val="WenQuanYi Zen Hei"/>
        <family val="2"/>
      </rPr>
      <t xml:space="preserve">쪽이야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</si>
  <si>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어떻게 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가위로 잘라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풀로 붙여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색연필 어디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책상 위에 있어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보건실이 어디에 있어요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활동 방법을 모를 때 방법을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어떻게 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해당 질문에 대한 대답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가위로 잘라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풀로 붙여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을…
③ 수업 준비물의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색연필 어디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해당 질문에 대한 대답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 위에 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교실의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보건실이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해당 질문에 대한 대답</t>
    </r>
    <r>
      <rPr>
        <sz val="9"/>
        <rFont val="맑은 고딕"/>
        <family val="0"/>
        <charset val="1"/>
      </rPr>
      <t xml:space="preserve">(1</t>
    </r>
    <r>
      <rPr>
        <sz val="9"/>
        <rFont val="WenQuanYi Zen Hei"/>
        <family val="2"/>
      </rPr>
      <t xml:space="preserve">층에 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)…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</si>
  <si>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-09</t>
    </r>
  </si>
  <si>
    <t xml:space="preserve">하고 싶은 것과 다짐을 말해요</t>
  </si>
  <si>
    <r>
      <rPr>
        <sz val="9"/>
        <rFont val="맑은 고딕"/>
        <family val="0"/>
        <charset val="1"/>
      </rPr>
      <t xml:space="preserve">S-2-4-1 </t>
    </r>
    <r>
      <rPr>
        <sz val="9"/>
        <rFont val="WenQuanYi Zen Hei"/>
        <family val="2"/>
      </rPr>
      <t xml:space="preserve">하고 싶은 말을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제가 할래요</t>
    </r>
    <r>
      <rPr>
        <sz val="9"/>
        <rFont val="맑은 고딕"/>
        <family val="0"/>
        <charset val="1"/>
      </rPr>
      <t xml:space="preserve">. ~</t>
    </r>
    <r>
      <rPr>
        <sz val="9"/>
        <rFont val="WenQuanYi Zen Hei"/>
        <family val="2"/>
      </rPr>
      <t xml:space="preserve">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 읽고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 가고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
S-2-4-2 </t>
    </r>
    <r>
      <rPr>
        <sz val="9"/>
        <rFont val="WenQuanYi Zen Hei"/>
        <family val="2"/>
      </rPr>
      <t xml:space="preserve">다짐을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 일찍 올게요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싸우지 않을게요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
S-2-4-3 </t>
    </r>
    <r>
      <rPr>
        <sz val="9"/>
        <rFont val="WenQuanYi Zen Hei"/>
        <family val="2"/>
      </rPr>
      <t xml:space="preserve">도움이 필요한 상황을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보건실에 가고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가위가 없어요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</si>
  <si>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제가 할래요</t>
    </r>
    <r>
      <rPr>
        <sz val="9"/>
        <rFont val="맑은 고딕"/>
        <family val="0"/>
        <charset val="1"/>
      </rPr>
      <t xml:space="preserve">, ~</t>
    </r>
    <r>
      <rPr>
        <sz val="9"/>
        <rFont val="WenQuanYi Zen Hei"/>
        <family val="2"/>
      </rPr>
      <t xml:space="preserve">하고 싶어요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 읽고 싶어요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운동장에 가고 싶어요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학교에 일찍 올게요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싸우지 않을게요
② 하고 싶은 말을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제가 할래요</t>
    </r>
    <r>
      <rPr>
        <sz val="9"/>
        <rFont val="맑은 고딕"/>
        <family val="0"/>
        <charset val="1"/>
      </rPr>
      <t xml:space="preserve">. ~</t>
    </r>
    <r>
      <rPr>
        <sz val="9"/>
        <rFont val="WenQuanYi Zen Hei"/>
        <family val="2"/>
      </rPr>
      <t xml:space="preserve">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 읽고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 가고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다짐을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 일찍 올게요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싸우지 않을게요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도움이 필요한 상황을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보건실에 가고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가위가 없어요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</si>
  <si>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</si>
  <si>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</si>
  <si>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맑은 고딕"/>
        <family val="0"/>
        <charset val="1"/>
      </rPr>
      <t xml:space="preserve">S-2-5-1 </t>
    </r>
    <r>
      <rPr>
        <sz val="9"/>
        <rFont val="WenQuanYi Zen Hei"/>
        <family val="2"/>
      </rPr>
      <t xml:space="preserve">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내 공책이에요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말할 때 낱말 사이를 자연스럽게 띄어 말한다</t>
    </r>
    <r>
      <rPr>
        <sz val="9"/>
        <rFont val="맑은 고딕"/>
        <family val="0"/>
        <charset val="1"/>
      </rPr>
      <t xml:space="preserve">.
S-2-5-2 </t>
    </r>
    <r>
      <rPr>
        <sz val="9"/>
        <rFont val="WenQuanYi Zen Hei"/>
        <family val="2"/>
      </rPr>
      <t xml:space="preserve">상대가 다시 물으면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같은 말을 조금 더 분명한 발음과 속도로 다시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</si>
  <si>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이것은 내 공책이에요
②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내 공책이에요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말할 때 낱말 사이를 자연스럽게 띄어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상대가 다시 물으면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같은 말을 조금 더 분명한 발음과 속도로 다시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S-2-5-1·S-2-5-2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</si>
  <si>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</t>
    </r>
  </si>
  <si>
    <r>
      <rPr>
        <sz val="9"/>
        <rFont val="WenQuanYi Zen Hei"/>
        <family val="2"/>
      </rPr>
      <t xml:space="preserve">친숙한 주제에 관해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</si>
  <si>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주제에 관해 말할 수 있다</t>
    </r>
    <r>
      <rPr>
        <sz val="9"/>
        <rFont val="맑은 고딕"/>
        <family val="0"/>
        <charset val="1"/>
      </rPr>
      <t xml:space="preserve">.</t>
    </r>
  </si>
  <si>
    <t xml:space="preserve">S-3-1-1, S-3-1-2</t>
  </si>
  <si>
    <r>
      <rPr>
        <sz val="9"/>
        <rFont val="맑은 고딕"/>
        <family val="0"/>
        <charset val="1"/>
      </rPr>
      <t xml:space="preserve">S-3-1-1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소개나 발표를 한다</t>
    </r>
    <r>
      <rPr>
        <sz val="9"/>
        <rFont val="맑은 고딕"/>
        <family val="0"/>
        <charset val="1"/>
      </rPr>
      <t xml:space="preserve">.
S-3-1-2 </t>
    </r>
    <r>
      <rPr>
        <sz val="9"/>
        <rFont val="WenQuanYi Zen Hei"/>
        <family val="2"/>
      </rPr>
      <t xml:space="preserve">그림이나 사진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등굣길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보며 관련된 정보를 두 가지 이상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</si>
  <si>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등굣길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
② 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소개나 발표를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그림이나 사진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등굣길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보며 관련된 정보를 두 가지 이상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S-3-1-1·S-3-1-2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</si>
  <si>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</si>
  <si>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</t>
    </r>
  </si>
  <si>
    <t xml:space="preserve">체험학습에서 겪은 일을 말해요</t>
  </si>
  <si>
    <r>
      <rPr>
        <sz val="9"/>
        <rFont val="WenQuanYi Zen Hei"/>
        <family val="2"/>
      </rPr>
      <t xml:space="preserve">겪은 일에 관해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</si>
  <si>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일에 관해 말할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</si>
  <si>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S-3-2-1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시간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사용해 말한다</t>
    </r>
    <r>
      <rPr>
        <sz val="9"/>
        <rFont val="맑은 고딕"/>
        <family val="0"/>
        <charset val="1"/>
      </rPr>
      <t xml:space="preserve">.
S-3-2-2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나온 사람이나 장소를 포함해 말한다</t>
    </r>
    <r>
      <rPr>
        <sz val="9"/>
        <rFont val="맑은 고딕"/>
        <family val="0"/>
        <charset val="1"/>
      </rPr>
      <t xml:space="preserve">.
S-3-2-3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느낌을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</si>
  <si>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
② 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시간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사용해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나온 사람이나 장소를 포함해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느낌을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</si>
  <si>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</si>
  <si>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-13</t>
    </r>
  </si>
  <si>
    <r>
      <rPr>
        <sz val="9"/>
        <rFont val="WenQuanYi Zen Hei"/>
        <family val="2"/>
      </rPr>
      <t xml:space="preserve">수업에 참여하여 질문하고 대답할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</si>
  <si>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 참여하여 질문하고 대답할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</si>
  <si>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S-3-3-1 </t>
    </r>
    <r>
      <rPr>
        <sz val="9"/>
        <rFont val="WenQuanYi Zen Hei"/>
        <family val="2"/>
      </rPr>
      <t xml:space="preserve">수업 중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무엇으로 관찰해요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수업에 대한 대답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돋보기로 관찰해요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S-3-3-2 </t>
    </r>
    <r>
      <rPr>
        <sz val="9"/>
        <rFont val="WenQuanYi Zen Hei"/>
        <family val="2"/>
      </rPr>
      <t xml:space="preserve">교사의 확인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도형이 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수업 내용과 관련된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삼각형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</si>
  <si>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무엇으로 관찰해요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돋보기로 관찰해요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어떤 도형이 있나요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삼각형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원이 있어요
② 수업 중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무엇으로 관찰해요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수업에 대한 대답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돋보기로 관찰해요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교사의 확인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도형이 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수업 내용과 관련된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삼각형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S-3-3-1·S-3-3-2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</si>
  <si>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-14</t>
    </r>
  </si>
  <si>
    <t xml:space="preserve">들은 이야기를 전해요</t>
  </si>
  <si>
    <r>
      <rPr>
        <sz val="9"/>
        <rFont val="WenQuanYi Zen Hei"/>
        <family val="2"/>
      </rPr>
      <t xml:space="preserve">전해 들은 짧은 이야기를 전달할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</si>
  <si>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전해 들은 짧은 이야기를 전달할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</si>
  <si>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S-3-4-1 </t>
    </r>
    <r>
      <rPr>
        <sz val="9"/>
        <rFont val="WenQuanYi Zen Hei"/>
        <family val="2"/>
      </rPr>
      <t xml:space="preserve">전해 들은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친구의 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등을 말한다</t>
    </r>
    <r>
      <rPr>
        <sz val="9"/>
        <rFont val="맑은 고딕"/>
        <family val="0"/>
        <charset val="1"/>
      </rPr>
      <t xml:space="preserve">.
S-3-4-2 </t>
    </r>
    <r>
      <rPr>
        <sz val="9"/>
        <rFont val="WenQuanYi Zen Hei"/>
        <family val="2"/>
      </rPr>
      <t xml:space="preserve">들은 내용을 전달하는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집에 오라고 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축구하자고 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표현한다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</si>
  <si>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친구의 생일 파티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집에 오라고 했어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축구하자고 했어
② 전해 들은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친구의 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등을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들은 내용을 전달하는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집에 오라고 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축구하자고 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표현한다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S-3-4-1·S-3-4-2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</si>
  <si>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t xml:space="preserve">말 전달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</si>
  <si>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-15</t>
    </r>
  </si>
  <si>
    <t xml:space="preserve">알아듣기 쉽게 다시 말해요</t>
  </si>
  <si>
    <t xml:space="preserve">S-3-5-1, S-3-5-2</t>
  </si>
  <si>
    <r>
      <rPr>
        <sz val="9"/>
        <rFont val="맑은 고딕"/>
        <family val="0"/>
        <charset val="1"/>
      </rPr>
      <t xml:space="preserve">S-3-5-1 </t>
    </r>
    <r>
      <rPr>
        <sz val="9"/>
        <rFont val="WenQuanYi Zen Hei"/>
        <family val="2"/>
      </rPr>
      <t xml:space="preserve">자신이 하고 싶은 말을 비교적 정확한 발음으로 말한다</t>
    </r>
    <r>
      <rPr>
        <sz val="9"/>
        <rFont val="맑은 고딕"/>
        <family val="0"/>
        <charset val="1"/>
      </rPr>
      <t xml:space="preserve">.
S-3-5-2 </t>
    </r>
    <r>
      <rPr>
        <sz val="9"/>
        <rFont val="WenQuanYi Zen Hei"/>
        <family val="2"/>
      </rPr>
      <t xml:space="preserve">상대가 다시 묻거나 못 알아들었을 때 같은 내용을 한 번 더 알아 듣기 쉽게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</si>
  <si>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자신이 하고 싶은 말을 비교적 정확한 발음으로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상대가 다시 묻거나 못 알아들었을 때 같은 내용을 한 번 더 알아 듣기 쉽게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S-3-5-1·S-3-5-2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</si>
  <si>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-16</t>
    </r>
  </si>
  <si>
    <t xml:space="preserve">배운 내용을 내 말로 말해요</t>
  </si>
  <si>
    <r>
      <rPr>
        <sz val="9"/>
        <rFont val="WenQuanYi Zen Hei"/>
        <family val="2"/>
      </rPr>
      <t xml:space="preserve">수업 내용과 관련된 주제에 관해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</si>
  <si>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내용과 관련된 주제에 관해 말할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</si>
  <si>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S-4-1-1 </t>
    </r>
    <r>
      <rPr>
        <sz val="9"/>
        <rFont val="WenQuanYi Zen Hei"/>
        <family val="2"/>
      </rPr>
      <t xml:space="preserve">수업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관련된 주제에 대해 자신의 말로 표현한다</t>
    </r>
    <r>
      <rPr>
        <sz val="9"/>
        <rFont val="맑은 고딕"/>
        <family val="0"/>
        <charset val="1"/>
      </rPr>
      <t xml:space="preserve">.
S-4-1-2 </t>
    </r>
    <r>
      <rPr>
        <sz val="9"/>
        <rFont val="WenQuanYi Zen Hei"/>
        <family val="2"/>
      </rPr>
      <t xml:space="preserve">수업에서 배운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간략하게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</si>
  <si>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방위
② 수업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관련된 주제에 대해 자신의 말로 표현한다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수업에서 배운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간략하게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S-4-1-1·S-4-1-2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</si>
  <si>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-13,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</si>
  <si>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</t>
    </r>
  </si>
  <si>
    <t xml:space="preserve">학교 소식을 발표해요</t>
  </si>
  <si>
    <r>
      <rPr>
        <sz val="9"/>
        <rFont val="WenQuanYi Zen Hei"/>
        <family val="2"/>
      </rPr>
      <t xml:space="preserve">정보를 알리는 말을 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</si>
  <si>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알리는 말을 할 수 있다</t>
    </r>
    <r>
      <rPr>
        <sz val="9"/>
        <rFont val="맑은 고딕"/>
        <family val="0"/>
        <charset val="1"/>
      </rPr>
      <t xml:space="preserve">.</t>
    </r>
  </si>
  <si>
    <t xml:space="preserve">S-4-2-1, S-4-2-2</t>
  </si>
  <si>
    <r>
      <rPr>
        <sz val="9"/>
        <rFont val="맑은 고딕"/>
        <family val="0"/>
        <charset val="1"/>
      </rPr>
      <t xml:space="preserve">S-4-2-1 </t>
    </r>
    <r>
      <rPr>
        <sz val="9"/>
        <rFont val="WenQuanYi Zen Hei"/>
        <family val="2"/>
      </rPr>
      <t xml:space="preserve">학습과 관련한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옛날과 오늘날의 생활 모습 비교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말한다</t>
    </r>
    <r>
      <rPr>
        <sz val="9"/>
        <rFont val="맑은 고딕"/>
        <family val="0"/>
        <charset val="1"/>
      </rPr>
      <t xml:space="preserve">.
S-4-2-2 </t>
    </r>
    <r>
      <rPr>
        <sz val="9"/>
        <rFont val="WenQuanYi Zen Hei"/>
        <family val="2"/>
      </rPr>
      <t xml:space="preserve">학교 생활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내용을 발표한다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</si>
  <si>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옛날과 오늘날의 생활 모습 비교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
② 학습과 관련한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옛날과 오늘날의 생활 모습 비교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학교 생활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내용을 발표한다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S-4-2-1·S-4-2-2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</si>
  <si>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상황 보고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발표 틀 채워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</si>
  <si>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</si>
  <si>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-18</t>
    </r>
  </si>
  <si>
    <t xml:space="preserve">까닭을 들어 내 생각을 말해요</t>
  </si>
  <si>
    <r>
      <rPr>
        <sz val="9"/>
        <rFont val="WenQuanYi Zen Hei"/>
        <family val="2"/>
      </rPr>
      <t xml:space="preserve">수업에 참여하여 자신의 생각을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</si>
  <si>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 참여하여 자신의 생각을 말할 수 있다</t>
    </r>
    <r>
      <rPr>
        <sz val="9"/>
        <rFont val="맑은 고딕"/>
        <family val="0"/>
        <charset val="1"/>
      </rPr>
      <t xml:space="preserve">.</t>
    </r>
  </si>
  <si>
    <t xml:space="preserve">S-4-3-1, S-4-3-2</t>
  </si>
  <si>
    <r>
      <rPr>
        <sz val="9"/>
        <rFont val="맑은 고딕"/>
        <family val="0"/>
        <charset val="1"/>
      </rPr>
      <t xml:space="preserve">S-4-3-1 </t>
    </r>
    <r>
      <rPr>
        <sz val="9"/>
        <rFont val="WenQuanYi Zen Hei"/>
        <family val="2"/>
      </rPr>
      <t xml:space="preserve">이유나 근거를 들어 발표</t>
    </r>
    <r>
      <rPr>
        <sz val="9"/>
        <rFont val="맑은 고딕"/>
        <family val="0"/>
        <charset val="1"/>
      </rPr>
      <t xml:space="preserve">(“</t>
    </r>
    <r>
      <rPr>
        <sz val="9"/>
        <rFont val="WenQuanYi Zen Hei"/>
        <family val="2"/>
      </rPr>
      <t xml:space="preserve">왜냐하면 ○○이기 때문입니다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자신의 생각을 말한다</t>
    </r>
    <r>
      <rPr>
        <sz val="9"/>
        <rFont val="맑은 고딕"/>
        <family val="0"/>
        <charset val="1"/>
      </rPr>
      <t xml:space="preserve">.
S-4-3-2 </t>
    </r>
    <r>
      <rPr>
        <sz val="9"/>
        <rFont val="WenQuanYi Zen Hei"/>
        <family val="2"/>
      </rPr>
      <t xml:space="preserve">그림이나 이야기 속 인물의 행동에 대해 자신의 생각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제 생각에 </t>
    </r>
    <r>
      <rPr>
        <sz val="9"/>
        <rFont val="맑은 고딕"/>
        <family val="0"/>
        <charset val="1"/>
      </rPr>
      <t xml:space="preserve">00</t>
    </r>
    <r>
      <rPr>
        <sz val="9"/>
        <rFont val="WenQuanYi Zen Hei"/>
        <family val="2"/>
      </rPr>
      <t xml:space="preserve">이 거짓말을 말한 것은 나쁘다고 생각합니다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</si>
  <si>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“</t>
    </r>
    <r>
      <rPr>
        <sz val="9"/>
        <rFont val="WenQuanYi Zen Hei"/>
        <family val="2"/>
      </rPr>
      <t xml:space="preserve">왜냐하면 ○○이기 때문입니다</t>
    </r>
    <r>
      <rPr>
        <sz val="9"/>
        <rFont val="맑은 고딕"/>
        <family val="0"/>
        <charset val="1"/>
      </rPr>
      <t xml:space="preserve">.”
② </t>
    </r>
    <r>
      <rPr>
        <sz val="9"/>
        <rFont val="WenQuanYi Zen Hei"/>
        <family val="2"/>
      </rPr>
      <t xml:space="preserve">이유나 근거를 들어 발표</t>
    </r>
    <r>
      <rPr>
        <sz val="9"/>
        <rFont val="맑은 고딕"/>
        <family val="0"/>
        <charset val="1"/>
      </rPr>
      <t xml:space="preserve">(“</t>
    </r>
    <r>
      <rPr>
        <sz val="9"/>
        <rFont val="WenQuanYi Zen Hei"/>
        <family val="2"/>
      </rPr>
      <t xml:space="preserve">왜냐하면 ○○이기 때문입니다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자신의 생각을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그림이나 이야기 속 인물의 행동에 대해 자신의 생각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제 생각에 </t>
    </r>
    <r>
      <rPr>
        <sz val="9"/>
        <rFont val="맑은 고딕"/>
        <family val="0"/>
        <charset val="1"/>
      </rPr>
      <t xml:space="preserve">00</t>
    </r>
    <r>
      <rPr>
        <sz val="9"/>
        <rFont val="WenQuanYi Zen Hei"/>
        <family val="2"/>
      </rPr>
      <t xml:space="preserve">이 거짓말을 말한 것은 나쁘다고 생각합니다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말…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S-4-3-1·S-4-3-2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</si>
  <si>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</si>
  <si>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-19</t>
    </r>
  </si>
  <si>
    <t xml:space="preserve">제안하고 약속하는 대화를 해요</t>
  </si>
  <si>
    <r>
      <rPr>
        <sz val="9"/>
        <rFont val="WenQuanYi Zen Hei"/>
        <family val="2"/>
      </rPr>
      <t xml:space="preserve">상황과 목적에 맞게 대화할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</si>
  <si>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상황과 목적에 맞게 대화할 수 있다</t>
    </r>
    <r>
      <rPr>
        <sz val="9"/>
        <rFont val="맑은 고딕"/>
        <family val="0"/>
        <charset val="1"/>
      </rPr>
      <t xml:space="preserve">.</t>
    </r>
  </si>
  <si>
    <t xml:space="preserve">S-4-4-1, S-4-4-2</t>
  </si>
  <si>
    <r>
      <rPr>
        <sz val="9"/>
        <rFont val="맑은 고딕"/>
        <family val="0"/>
        <charset val="1"/>
      </rPr>
      <t xml:space="preserve">S-4-4-1 </t>
    </r>
    <r>
      <rPr>
        <sz val="9"/>
        <rFont val="WenQuanYi Zen Hei"/>
        <family val="2"/>
      </rPr>
      <t xml:space="preserve">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제안하기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약속하기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질문과 대답을 번갈아 하며 관련 발화를 이어 간다</t>
    </r>
    <r>
      <rPr>
        <sz val="9"/>
        <rFont val="맑은 고딕"/>
        <family val="0"/>
        <charset val="1"/>
      </rPr>
      <t xml:space="preserve">.
S-4-4-2 </t>
    </r>
    <r>
      <rPr>
        <sz val="9"/>
        <rFont val="WenQuanYi Zen Hei"/>
        <family val="2"/>
      </rPr>
      <t xml:space="preserve">상황에 맞는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발표하는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짝과 대화하는 상황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질문과 대답을 번갈아 하며 관련 발화를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</si>
  <si>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제안하기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약속하기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발표하는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짝과 대화하는 상황
②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제안하기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약속하기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질문과 대답을 번갈아 하며 관련 발화를 이어 간다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상황에 맞는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발표하는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짝과 대화하는 상황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질문과 대답을 번갈아 하며 관련 발화를 이어 간다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S-4-4-1·S-4-4-2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</si>
  <si>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역할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발표 틀 채워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</si>
  <si>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-20</t>
    </r>
  </si>
  <si>
    <t xml:space="preserve">상대와 상황에 맞게 말해요</t>
  </si>
  <si>
    <r>
      <rPr>
        <sz val="9"/>
        <rFont val="WenQuanYi Zen Hei"/>
        <family val="2"/>
      </rPr>
      <t xml:space="preserve">대화 상대와 맥락을 고려하여 어느 정도 자연스럽게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</si>
  <si>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 상대와 맥락을 고려하여 어느 정도 자연스럽게 말할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</si>
  <si>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S-4-5-1 </t>
    </r>
    <r>
      <rPr>
        <sz val="9"/>
        <rFont val="WenQuanYi Zen Hei"/>
        <family val="2"/>
      </rPr>
      <t xml:space="preserve">맥락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발화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동물 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빨라요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 동음이의어에 주의하는 대화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고려하여 자신이 하고 싶은 말을 한다</t>
    </r>
    <r>
      <rPr>
        <sz val="9"/>
        <rFont val="맑은 고딕"/>
        <family val="0"/>
        <charset val="1"/>
      </rPr>
      <t xml:space="preserve">.
S-4-5-2 </t>
    </r>
    <r>
      <rPr>
        <sz val="9"/>
        <rFont val="WenQuanYi Zen Hei"/>
        <family val="2"/>
      </rPr>
      <t xml:space="preserve">대화 상대에 따라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높임 표현 사용하기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질문과 대답을 번갈아 하며 관련 발화를 이어 간다</t>
    </r>
    <r>
      <rPr>
        <sz val="9"/>
        <rFont val="맑은 고딕"/>
        <family val="0"/>
        <charset val="1"/>
      </rPr>
      <t xml:space="preserve">.
S-4-5-3 </t>
    </r>
    <r>
      <rPr>
        <sz val="9"/>
        <rFont val="WenQuanYi Zen Hei"/>
        <family val="2"/>
      </rPr>
      <t xml:space="preserve">상대의 말에 맞추어 되묻기</t>
    </r>
    <r>
      <rPr>
        <sz val="9"/>
        <rFont val="맑은 고딕"/>
        <family val="0"/>
        <charset val="1"/>
      </rPr>
      <t xml:space="preserve">(00</t>
    </r>
    <r>
      <rPr>
        <sz val="9"/>
        <rFont val="WenQuanYi Zen Hei"/>
        <family val="2"/>
      </rPr>
      <t xml:space="preserve">이 무슨 뜻이야</t>
    </r>
    <r>
      <rPr>
        <sz val="9"/>
        <rFont val="맑은 고딕"/>
        <family val="0"/>
        <charset val="1"/>
      </rPr>
      <t xml:space="preserve">? / 00</t>
    </r>
    <r>
      <rPr>
        <sz val="9"/>
        <rFont val="WenQuanYi Zen Hei"/>
        <family val="2"/>
      </rPr>
      <t xml:space="preserve">는 이런 뜻이야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동의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맞아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나도 그래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추가 설명 중 하나를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</si>
  <si>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발화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동물 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높임 표현 사용하기</t>
    </r>
    <r>
      <rPr>
        <sz val="9"/>
        <rFont val="맑은 고딕"/>
        <family val="0"/>
        <charset val="1"/>
      </rPr>
      <t xml:space="preserve">, 00</t>
    </r>
    <r>
      <rPr>
        <sz val="9"/>
        <rFont val="WenQuanYi Zen Hei"/>
        <family val="2"/>
      </rPr>
      <t xml:space="preserve">이 무슨 뜻이야</t>
    </r>
    <r>
      <rPr>
        <sz val="9"/>
        <rFont val="맑은 고딕"/>
        <family val="0"/>
        <charset val="1"/>
      </rPr>
      <t xml:space="preserve">?, 00</t>
    </r>
    <r>
      <rPr>
        <sz val="9"/>
        <rFont val="WenQuanYi Zen Hei"/>
        <family val="2"/>
      </rPr>
      <t xml:space="preserve">는 이런 뜻이야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맞아
② 맥락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발화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동물 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빨라요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 동음이의어에 주의하는 대화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고려하여 자신이 하고 싶은 말을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대화 상대에 따라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높임 표현 사용하기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질문과 대답을 번갈아 하며 관련 발화를 이어 간다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상대의 말에 맞추어 되묻기</t>
    </r>
    <r>
      <rPr>
        <sz val="9"/>
        <rFont val="맑은 고딕"/>
        <family val="0"/>
        <charset val="1"/>
      </rPr>
      <t xml:space="preserve">(00</t>
    </r>
    <r>
      <rPr>
        <sz val="9"/>
        <rFont val="WenQuanYi Zen Hei"/>
        <family val="2"/>
      </rPr>
      <t xml:space="preserve">이 무슨 뜻이야</t>
    </r>
    <r>
      <rPr>
        <sz val="9"/>
        <rFont val="맑은 고딕"/>
        <family val="0"/>
        <charset val="1"/>
      </rPr>
      <t xml:space="preserve">? / 00</t>
    </r>
    <r>
      <rPr>
        <sz val="9"/>
        <rFont val="WenQuanYi Zen Hei"/>
        <family val="2"/>
      </rPr>
      <t xml:space="preserve">는 이런 뜻이야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동의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맞아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나도 그래</t>
    </r>
    <r>
      <rPr>
        <sz val="9"/>
        <rFont val="맑은 고딕"/>
        <family val="0"/>
        <charset val="1"/>
      </rPr>
      <t xml:space="preserve">. …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</si>
  <si>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</si>
  <si>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</si>
  <si>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</si>
  <si>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짧고 쉬운 단어를 읽고 의미를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</si>
  <si>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짧고 쉬운 단어를 읽고 의미를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</si>
  <si>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-03</t>
    </r>
  </si>
  <si>
    <r>
      <rPr>
        <sz val="9"/>
        <rFont val="WenQuanYi Zen Hei"/>
        <family val="2"/>
      </rPr>
      <t xml:space="preserve">생활에서 사용하는 안내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간판 등을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</si>
  <si>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생활에서 사용하는 안내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간판 등을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</si>
  <si>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</si>
  <si>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</t>
    </r>
  </si>
  <si>
    <r>
      <rPr>
        <sz val="9"/>
        <rFont val="WenQuanYi Zen Hei"/>
        <family val="2"/>
      </rPr>
      <t xml:space="preserve">한글 자음과 모음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받침 등 글자를 식별하여 짧은 문장을 읽을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</si>
  <si>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한글 자음과 모음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받침 등 글자를 식별하여 짧은 문장을 읽을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</si>
  <si>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따라 읽기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읽고 보기 고르기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</si>
  <si>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</si>
  <si>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</t>
    </r>
  </si>
  <si>
    <t xml:space="preserve">R-2-1-1</t>
  </si>
  <si>
    <r>
      <rPr>
        <sz val="9"/>
        <rFont val="맑은 고딕"/>
        <family val="0"/>
        <charset val="1"/>
      </rPr>
      <t xml:space="preserve">R-2-1-1 </t>
    </r>
    <r>
      <rPr>
        <sz val="9"/>
        <rFont val="WenQuanYi Zen Hei"/>
        <family val="2"/>
      </rPr>
      <t xml:space="preserve">두세 어절로 된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우유를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운동장에서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집에서 숙제를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낱말 사이에서 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</si>
  <si>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우유를 마셔요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운동장에서 놀아요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집에서 숙제를 해요
② 두세 어절로 된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우유를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운동장에서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집에서 숙제를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낱말 사이에서 띄어 읽는다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R-2-1-1)</t>
    </r>
  </si>
  <si>
    <r>
      <rPr>
        <sz val="9"/>
        <rFont val="WenQuanYi Zen Hei"/>
        <family val="2"/>
      </rPr>
      <t xml:space="preserve">끊어 읽기 표시</t>
    </r>
    <r>
      <rPr>
        <sz val="9"/>
        <rFont val="맑은 고딕"/>
        <family val="0"/>
        <charset val="1"/>
      </rPr>
      <t xml:space="preserve">(v </t>
    </r>
    <r>
      <rPr>
        <sz val="9"/>
        <rFont val="WenQuanYi Zen Hei"/>
        <family val="2"/>
      </rPr>
      <t xml:space="preserve">넣기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</si>
  <si>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</si>
  <si>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-06</t>
    </r>
  </si>
  <si>
    <r>
      <rPr>
        <sz val="9"/>
        <rFont val="WenQuanYi Zen Hei"/>
        <family val="2"/>
      </rPr>
      <t xml:space="preserve">문장의 의미를 대강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</si>
  <si>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문장의 의미를 대강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</si>
  <si>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R-2-2-1 </t>
    </r>
    <r>
      <rPr>
        <sz val="9"/>
        <rFont val="WenQuanYi Zen Hei"/>
        <family val="2"/>
      </rPr>
      <t xml:space="preserve">짧은 지시문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알림장을 쓰세요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낙서하지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문장에 맞는 행동을 한다</t>
    </r>
    <r>
      <rPr>
        <sz val="9"/>
        <rFont val="맑은 고딕"/>
        <family val="0"/>
        <charset val="1"/>
      </rPr>
      <t xml:space="preserve">.
R-2-2-2 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도서관에서 책을 빌려요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급식실에서 밥을 먹어요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문장의 내용에 알맞은 그림에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</si>
  <si>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알림장을 쓰세요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낙서하지 마세요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도서관에서 책을 빌려요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급식실에서 밥을 먹어요
② 짧은 지시문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알림장을 쓰세요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낙서하지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문장에 맞는 행동을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도서관에서 책을 빌려요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급식실에서 밥을 먹어요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문장의 내용에 알맞은 그림에 표시한다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R-2-2-1·R-2-2-2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</si>
  <si>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읽고 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고르기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낱말 표시하기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</si>
  <si>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-07</t>
    </r>
  </si>
  <si>
    <t xml:space="preserve">알림장과 안내문에서 정보를 찾아요</t>
  </si>
  <si>
    <r>
      <rPr>
        <sz val="9"/>
        <rFont val="WenQuanYi Zen Hei"/>
        <family val="2"/>
      </rPr>
      <t xml:space="preserve">알림장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초대장 등의 글을 읽고 정보를 찾을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</si>
  <si>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알림장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초대장 등의 글을 읽고 정보를 찾을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</si>
  <si>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R-2-3-1 </t>
    </r>
    <r>
      <rPr>
        <sz val="9"/>
        <rFont val="WenQuanYi Zen Hei"/>
        <family val="2"/>
      </rPr>
      <t xml:space="preserve">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리코더와 실내화 가져오기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리코더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실내화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
R-2-3-2 </t>
    </r>
    <r>
      <rPr>
        <sz val="9"/>
        <rFont val="WenQuanYi Zen Hei"/>
        <family val="2"/>
      </rPr>
      <t xml:space="preserve">게시판 안내문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어린이날 행사를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동그라미를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</si>
  <si>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리코더와 실내화 가져오기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리코더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실내화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어린이날 행사를 합니다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일시
② 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리코더와 실내화 가져오기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리코더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실내화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게시판 안내문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어린이날 행사를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동그라미를 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R-2-3-1·R-2-3-2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</si>
  <si>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낱말 표시하기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</si>
  <si>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</t>
    </r>
  </si>
  <si>
    <t xml:space="preserve">긴 문장을 끊어 읽어요</t>
  </si>
  <si>
    <r>
      <rPr>
        <sz val="9"/>
        <rFont val="WenQuanYi Zen Hei"/>
        <family val="2"/>
      </rPr>
      <t xml:space="preserve">다양한 구조의 문장을 의미 단위로 끊어 읽을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</si>
  <si>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구조의 문장을 의미 단위로 끊어 읽을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</si>
  <si>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R-2-4-1 </t>
    </r>
    <r>
      <rPr>
        <sz val="9"/>
        <rFont val="WenQuanYi Zen Hei"/>
        <family val="2"/>
      </rPr>
      <t xml:space="preserve">다양한 구조의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원인과 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비교와 대조의 문장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호응 관계에 따른 문장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의미 단위로 나누어 읽는다</t>
    </r>
    <r>
      <rPr>
        <sz val="9"/>
        <rFont val="맑은 고딕"/>
        <family val="0"/>
        <charset val="1"/>
      </rPr>
      <t xml:space="preserve">.
R-2-4-2 </t>
    </r>
    <r>
      <rPr>
        <sz val="9"/>
        <rFont val="WenQuanYi Zen Hei"/>
        <family val="2"/>
      </rPr>
      <t xml:space="preserve">안은문장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기린은 목이 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토끼는 앞발이 짧다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우리학교는 운동장이 넓어요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의미 단위로 나누어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</si>
  <si>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원인과 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비교와 대조의 문장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호응 관계에 따른 문장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기린은 목이 길어요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토끼는 앞발이 짧다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우리학교는 운동장이 넓어요
② 다양한 구조의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원인과 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비교와 대조의 문장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호응 관계에 따른 문장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의미 단위로 나누어 읽는다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안은문장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기린은 목이 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토끼는 앞발이 짧다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우리학교는 운동장이 넓어요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의미 단위로 나누어 읽는다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R-2-4-1·R-2-4-2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</si>
  <si>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</si>
  <si>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</t>
    </r>
  </si>
  <si>
    <t xml:space="preserve">나라 소개 글을 읽어요</t>
  </si>
  <si>
    <r>
      <rPr>
        <sz val="9"/>
        <rFont val="WenQuanYi Zen Hei"/>
        <family val="2"/>
      </rPr>
      <t xml:space="preserve">친숙한 주제에 관한 글을 읽고 대강의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</si>
  <si>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주제에 관한 글을 읽고 대강의 내용을 파악할 수 있다</t>
    </r>
    <r>
      <rPr>
        <sz val="9"/>
        <rFont val="맑은 고딕"/>
        <family val="0"/>
        <charset val="1"/>
      </rPr>
      <t xml:space="preserve">.</t>
    </r>
  </si>
  <si>
    <t xml:space="preserve">R-3-1-1, R-3-1-2</t>
  </si>
  <si>
    <r>
      <rPr>
        <sz val="9"/>
        <rFont val="맑은 고딕"/>
        <family val="0"/>
        <charset val="1"/>
      </rPr>
      <t xml:space="preserve">R-3-1-1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나라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내용에 맞는 그림을 고른다</t>
    </r>
    <r>
      <rPr>
        <sz val="9"/>
        <rFont val="맑은 고딕"/>
        <family val="0"/>
        <charset val="1"/>
      </rPr>
      <t xml:space="preserve">.
R-3-1-2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나라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찾아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</si>
  <si>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나라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
② 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나라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내용에 맞는 그림을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나라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찾아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R-3-1-1·R-3-1-2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</si>
  <si>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</si>
  <si>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-10</t>
    </r>
  </si>
  <si>
    <t xml:space="preserve">중심 내용과 세부 내용을 찾아요</t>
  </si>
  <si>
    <r>
      <rPr>
        <sz val="9"/>
        <rFont val="WenQuanYi Zen Hei"/>
        <family val="2"/>
      </rPr>
      <t xml:space="preserve">글을 읽고 중심 내용과 세부 내용을 찾을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</si>
  <si>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중심 내용과 세부 내용을 찾을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</si>
  <si>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R-3-2-1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알맞은 제목이나 주제를 찾는다</t>
    </r>
    <r>
      <rPr>
        <sz val="9"/>
        <rFont val="맑은 고딕"/>
        <family val="0"/>
        <charset val="1"/>
      </rPr>
      <t xml:space="preserve">.
R-3-2-2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중요한 낱말이나 문장에 밑줄을 친다</t>
    </r>
    <r>
      <rPr>
        <sz val="9"/>
        <rFont val="맑은 고딕"/>
        <family val="0"/>
        <charset val="1"/>
      </rPr>
      <t xml:space="preserve">.
R-3-2-3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중심 내용과 세부 내용을 구분한다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</si>
  <si>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
②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알맞은 제목이나 주제를 찾는다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중요한 낱말이나 문장에 밑줄을 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중심 내용과 세부 내용을 구분한다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</si>
  <si>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</t>
    </r>
  </si>
  <si>
    <t xml:space="preserve">가정통신문과 기사를 읽어요</t>
  </si>
  <si>
    <r>
      <rPr>
        <sz val="9"/>
        <rFont val="WenQuanYi Zen Hei"/>
        <family val="2"/>
      </rPr>
      <t xml:space="preserve">이야기나 설명하는 글을 읽고 주요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</si>
  <si>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이야기나 설명하는 글을 읽고 주요 내용을 파악할 수 있다</t>
    </r>
    <r>
      <rPr>
        <sz val="9"/>
        <rFont val="맑은 고딕"/>
        <family val="0"/>
        <charset val="1"/>
      </rPr>
      <t xml:space="preserve">.</t>
    </r>
  </si>
  <si>
    <t xml:space="preserve">R-3-3-1, R-3-3-2</t>
  </si>
  <si>
    <r>
      <rPr>
        <sz val="9"/>
        <rFont val="맑은 고딕"/>
        <family val="0"/>
        <charset val="1"/>
      </rPr>
      <t xml:space="preserve">R-3-3-1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 방송문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가정통신문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가장 알맞은 제목이나 중심 문장을 보기에서 고른다</t>
    </r>
    <r>
      <rPr>
        <sz val="9"/>
        <rFont val="맑은 고딕"/>
        <family val="0"/>
        <charset val="1"/>
      </rPr>
      <t xml:space="preserve">.
R-3-3-2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 방송문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가정통신문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중요한 낱말이나 문장에 밑줄 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</si>
  <si>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 방송문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가정통신문
②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 방송문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가정통신문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가장 알맞은 제목이나 중심 문장을 보기에서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 방송문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가정통신문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중요한 낱말이나 문장에 밑줄 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R-3-3-1·R-3-3-2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</si>
  <si>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</si>
  <si>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-12</t>
    </r>
  </si>
  <si>
    <t xml:space="preserve">편지와 옛이야기의 중심 문장을 찾아요</t>
  </si>
  <si>
    <r>
      <rPr>
        <sz val="9"/>
        <rFont val="WenQuanYi Zen Hei"/>
        <family val="2"/>
      </rPr>
      <t xml:space="preserve">짧은 글을 읽고 중심 내용을 찾을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</si>
  <si>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글을 읽고 중심 내용을 찾을 수 있다</t>
    </r>
    <r>
      <rPr>
        <sz val="9"/>
        <rFont val="맑은 고딕"/>
        <family val="0"/>
        <charset val="1"/>
      </rPr>
      <t xml:space="preserve">.</t>
    </r>
  </si>
  <si>
    <t xml:space="preserve">R-3-4-1, R-3-4-2</t>
  </si>
  <si>
    <r>
      <rPr>
        <sz val="9"/>
        <rFont val="맑은 고딕"/>
        <family val="0"/>
        <charset val="1"/>
      </rPr>
      <t xml:space="preserve">R-3-4-1 </t>
    </r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편지글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초대장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가장 알맞은 제목이나 중심 문장을 보기에서 고른다</t>
    </r>
    <r>
      <rPr>
        <sz val="9"/>
        <rFont val="맑은 고딕"/>
        <family val="0"/>
        <charset val="1"/>
      </rPr>
      <t xml:space="preserve">.
R-3-4-2 </t>
    </r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편지글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초대장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중요한 낱말이나 문장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개 이상에 밑줄 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</si>
  <si>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편지글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초대장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
② 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편지글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초대장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가장 알맞은 제목이나 중심 문장을 보기에서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편지글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초대장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중요한 낱말이나 문장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개 이상에 밑줄 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R-3-4-1·R-3-4-2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</si>
  <si>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</si>
  <si>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-13</t>
    </r>
  </si>
  <si>
    <t xml:space="preserve">기행문과 위인전을 읽어요</t>
  </si>
  <si>
    <r>
      <rPr>
        <sz val="9"/>
        <rFont val="WenQuanYi Zen Hei"/>
        <family val="2"/>
      </rPr>
      <t xml:space="preserve">다양한 주제의 글을 읽고 전반적인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</si>
  <si>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주제의 글을 읽고 전반적인 내용을 파악할 수 있다</t>
    </r>
    <r>
      <rPr>
        <sz val="9"/>
        <rFont val="맑은 고딕"/>
        <family val="0"/>
        <charset val="1"/>
      </rPr>
      <t xml:space="preserve">.</t>
    </r>
  </si>
  <si>
    <t xml:space="preserve">R-4-1-1, R-4-1-2, R-4-1-3</t>
  </si>
  <si>
    <r>
      <rPr>
        <sz val="9"/>
        <rFont val="맑은 고딕"/>
        <family val="0"/>
        <charset val="1"/>
      </rPr>
      <t xml:space="preserve">R-4-1-1 </t>
    </r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했는지 각각 표시한다</t>
    </r>
    <r>
      <rPr>
        <sz val="9"/>
        <rFont val="맑은 고딕"/>
        <family val="0"/>
        <charset val="1"/>
      </rPr>
      <t xml:space="preserve">.
R-4-1-2 </t>
    </r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일의 순서대로 그림 카드로 나타낸다</t>
    </r>
    <r>
      <rPr>
        <sz val="9"/>
        <rFont val="맑은 고딕"/>
        <family val="0"/>
        <charset val="1"/>
      </rPr>
      <t xml:space="preserve">.
R-4-1-3 </t>
    </r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내용과 맞는 문장에 동그라미를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</si>
  <si>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
② 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했는지 각각 표시한다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일의 순서대로 그림 카드로 나타낸다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내용과 맞는 문장에 동그라미를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</si>
  <si>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낱말 표시하기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</si>
  <si>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-14</t>
    </r>
  </si>
  <si>
    <t xml:space="preserve">사실과 생각을 구분해요</t>
  </si>
  <si>
    <r>
      <rPr>
        <sz val="9"/>
        <rFont val="WenQuanYi Zen Hei"/>
        <family val="2"/>
      </rPr>
      <t xml:space="preserve">이야기를 읽고 사실과 생각이나 느낌을 구분할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</si>
  <si>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이야기를 읽고 사실과 생각이나 느낌을 구분할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</si>
  <si>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R-4-2-1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문장 카드를 일이 일어난 순서대로 놓는다</t>
    </r>
    <r>
      <rPr>
        <sz val="9"/>
        <rFont val="맑은 고딕"/>
        <family val="0"/>
        <charset val="1"/>
      </rPr>
      <t xml:space="preserve">.
R-4-2-2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등장인물에게 생긴 일이 나타난 문장을 찾는다</t>
    </r>
    <r>
      <rPr>
        <sz val="9"/>
        <rFont val="맑은 고딕"/>
        <family val="0"/>
        <charset val="1"/>
      </rPr>
      <t xml:space="preserve">.
R-4-2-3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인물의 생각이나 느낌을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부끄럽다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걱정이 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속상하다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놀라다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…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</si>
  <si>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부끄럽다
②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문장 카드를 일이 일어난 순서대로 놓는다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등장인물에게 생긴 일이 나타난 문장을 찾는다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인물의 생각이나 느낌을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.…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</si>
  <si>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</si>
  <si>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교과서에 나오는 글을 읽고 주요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</si>
  <si>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교과서에 나오는 글을 읽고 주요 내용을 파악할 수 있다</t>
    </r>
    <r>
      <rPr>
        <sz val="9"/>
        <rFont val="맑은 고딕"/>
        <family val="0"/>
        <charset val="1"/>
      </rPr>
      <t xml:space="preserve">.</t>
    </r>
  </si>
  <si>
    <t xml:space="preserve">R-4-3-1, R-4-3-2, R-4-3-3</t>
  </si>
  <si>
    <r>
      <rPr>
        <sz val="9"/>
        <rFont val="맑은 고딕"/>
        <family val="0"/>
        <charset val="1"/>
      </rPr>
      <t xml:space="preserve">R-4-3-1 </t>
    </r>
    <r>
      <rPr>
        <sz val="9"/>
        <rFont val="WenQuanYi Zen Hei"/>
        <family val="2"/>
      </rPr>
      <t xml:space="preserve">교과서 글을 읽고 가장 알맞은 제목이나 중심 문장을 보기에서 고른다</t>
    </r>
    <r>
      <rPr>
        <sz val="9"/>
        <rFont val="맑은 고딕"/>
        <family val="0"/>
        <charset val="1"/>
      </rPr>
      <t xml:space="preserve">.
R-4-3-2 </t>
    </r>
    <r>
      <rPr>
        <sz val="9"/>
        <rFont val="WenQuanYi Zen Hei"/>
        <family val="2"/>
      </rPr>
      <t xml:space="preserve">교과서의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글에서 설명하는 대상을 고른다</t>
    </r>
    <r>
      <rPr>
        <sz val="9"/>
        <rFont val="맑은 고딕"/>
        <family val="0"/>
        <charset val="1"/>
      </rPr>
      <t xml:space="preserve">.
R-4-3-3 </t>
    </r>
    <r>
      <rPr>
        <sz val="9"/>
        <rFont val="WenQuanYi Zen Hei"/>
        <family val="2"/>
      </rPr>
      <t xml:space="preserve">교과서 글을 읽고 내용을 묻는 질문에 글 속 낱말을 사용해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</si>
  <si>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교과서 글을 읽고 가장 알맞은 제목이나 중심 문장을 보기에서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교과서의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글에서 설명하는 대상을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교과서 글을 읽고 내용을 묻는 질문에 글 속 낱말을 사용해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</si>
  <si>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-16</t>
    </r>
  </si>
  <si>
    <t xml:space="preserve">글의 흐름을 따라 읽어요</t>
  </si>
  <si>
    <r>
      <rPr>
        <sz val="9"/>
        <rFont val="WenQuanYi Zen Hei"/>
        <family val="2"/>
      </rPr>
      <t xml:space="preserve">다양한 유형의 글을 읽고 내용의 흐름을 이해할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</si>
  <si>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유형의 글을 읽고 내용의 흐름을 이해할 수 있다</t>
    </r>
    <r>
      <rPr>
        <sz val="9"/>
        <rFont val="맑은 고딕"/>
        <family val="0"/>
        <charset val="1"/>
      </rPr>
      <t xml:space="preserve">.</t>
    </r>
  </si>
  <si>
    <t xml:space="preserve">R-4-4-1, R-4-4-2</t>
  </si>
  <si>
    <r>
      <rPr>
        <sz val="9"/>
        <rFont val="맑은 고딕"/>
        <family val="0"/>
        <charset val="1"/>
      </rPr>
      <t xml:space="preserve">R-4-4-1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이야기글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만화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사건 그림이나 문장을 순서대로 배열한다</t>
    </r>
    <r>
      <rPr>
        <sz val="9"/>
        <rFont val="맑은 고딕"/>
        <family val="0"/>
        <charset val="1"/>
      </rPr>
      <t xml:space="preserve">.
R-4-4-2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이야기글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만화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줄거리와 맞지 않는 문장을 보기에서 골라 지운다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</si>
  <si>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이야기글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만화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
②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이야기글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만화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사건 그림이나 문장을 순서대로 배열한다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이야기글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만화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줄거리와 맞지 않는 문장을 보기에서 골라 지운다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R-4-4-1·R-4-4-2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</si>
  <si>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읽고 보기 고르기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</si>
  <si>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</si>
  <si>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</si>
  <si>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</si>
  <si>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</si>
  <si>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맑은 고딕"/>
        <family val="0"/>
        <charset val="1"/>
      </rPr>
      <t xml:space="preserve">W-1-2-1 </t>
    </r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획을 차례대로 따라 쓴다</t>
    </r>
    <r>
      <rPr>
        <sz val="9"/>
        <rFont val="맑은 고딕"/>
        <family val="0"/>
        <charset val="1"/>
      </rPr>
      <t xml:space="preserve">.
W-1-2-2 </t>
    </r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자형에 맞게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</si>
  <si>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트
②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획을 차례대로 따라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자형에 맞게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W-1-2-1·W-1-2-2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</si>
  <si>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</si>
  <si>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-03</t>
    </r>
  </si>
  <si>
    <r>
      <rPr>
        <sz val="9"/>
        <rFont val="맑은 고딕"/>
        <family val="0"/>
        <charset val="1"/>
      </rPr>
      <t xml:space="preserve">W-1-3-1 </t>
    </r>
    <r>
      <rPr>
        <sz val="9"/>
        <rFont val="WenQuanYi Zen Hei"/>
        <family val="2"/>
      </rPr>
      <t xml:space="preserve">자기 이름을 쓴다</t>
    </r>
    <r>
      <rPr>
        <sz val="9"/>
        <rFont val="맑은 고딕"/>
        <family val="0"/>
        <charset val="1"/>
      </rPr>
      <t xml:space="preserve">.
W-1-3-2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(10, </t>
    </r>
    <r>
      <rPr>
        <sz val="9"/>
        <rFont val="WenQuanYi Zen Hei"/>
        <family val="2"/>
      </rPr>
      <t xml:space="preserve">열 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학년</t>
    </r>
    <r>
      <rPr>
        <sz val="9"/>
        <rFont val="맑은 고딕"/>
        <family val="0"/>
        <charset val="1"/>
      </rPr>
      <t xml:space="preserve">(3, 3</t>
    </r>
    <r>
      <rPr>
        <sz val="9"/>
        <rFont val="WenQuanYi Zen Hei"/>
        <family val="2"/>
      </rPr>
      <t xml:space="preserve">학년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숫자와 낱말로 쓴다</t>
    </r>
    <r>
      <rPr>
        <sz val="9"/>
        <rFont val="맑은 고딕"/>
        <family val="0"/>
        <charset val="1"/>
      </rPr>
      <t xml:space="preserve">.
W-1-3-3 </t>
    </r>
    <r>
      <rPr>
        <sz val="9"/>
        <rFont val="WenQuanYi Zen Hei"/>
        <family val="2"/>
      </rPr>
      <t xml:space="preserve">간단한 인사말을 보고 따라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</si>
  <si>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10, </t>
    </r>
    <r>
      <rPr>
        <sz val="9"/>
        <rFont val="WenQuanYi Zen Hei"/>
        <family val="2"/>
      </rPr>
      <t xml:space="preserve">열 살</t>
    </r>
    <r>
      <rPr>
        <sz val="9"/>
        <rFont val="맑은 고딕"/>
        <family val="0"/>
        <charset val="1"/>
      </rPr>
      <t xml:space="preserve">, 3, 3</t>
    </r>
    <r>
      <rPr>
        <sz val="9"/>
        <rFont val="WenQuanYi Zen Hei"/>
        <family val="2"/>
      </rPr>
      <t xml:space="preserve">학년
② 자기 이름을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(10, </t>
    </r>
    <r>
      <rPr>
        <sz val="9"/>
        <rFont val="WenQuanYi Zen Hei"/>
        <family val="2"/>
      </rPr>
      <t xml:space="preserve">열 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학년</t>
    </r>
    <r>
      <rPr>
        <sz val="9"/>
        <rFont val="맑은 고딕"/>
        <family val="0"/>
        <charset val="1"/>
      </rPr>
      <t xml:space="preserve">(3, 3</t>
    </r>
    <r>
      <rPr>
        <sz val="9"/>
        <rFont val="WenQuanYi Zen Hei"/>
        <family val="2"/>
      </rPr>
      <t xml:space="preserve">학년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숫자와 낱말로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간단한 인사말을 보고 따라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</si>
  <si>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-04</t>
    </r>
  </si>
  <si>
    <r>
      <rPr>
        <sz val="9"/>
        <rFont val="WenQuanYi Zen Hei"/>
        <family val="2"/>
      </rPr>
      <t xml:space="preserve">시각 자료를 보고 해당하는 단어를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</si>
  <si>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시각 자료를 보고 해당하는 단어를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</si>
  <si>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W-1-4-1 </t>
    </r>
    <r>
      <rPr>
        <sz val="9"/>
        <rFont val="WenQuanYi Zen Hei"/>
        <family val="2"/>
      </rPr>
      <t xml:space="preserve">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자동차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낱말을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</si>
  <si>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시계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자동차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사물과 일치하는 쓰기
② 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자동차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낱말을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W-1-4-1)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</si>
  <si>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</t>
    </r>
  </si>
  <si>
    <t xml:space="preserve">그림을 보고 문장을 써요</t>
  </si>
  <si>
    <r>
      <rPr>
        <sz val="9"/>
        <rFont val="WenQuanYi Zen Hei"/>
        <family val="2"/>
      </rPr>
      <t xml:space="preserve">단어와 문장을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</si>
  <si>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단어와 문장을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</si>
  <si>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W-2-1-1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창문을 여는 모습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넣어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창문을 열어요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완성한다</t>
    </r>
    <r>
      <rPr>
        <sz val="9"/>
        <rFont val="맑은 고딕"/>
        <family val="0"/>
        <charset val="1"/>
      </rPr>
      <t xml:space="preserve">.
W-2-1-2 </t>
    </r>
    <r>
      <rPr>
        <sz val="9"/>
        <rFont val="WenQuanYi Zen Hei"/>
        <family val="2"/>
      </rPr>
      <t xml:space="preserve">여러 가지 물건 사진이나 그림을 보고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방에 피아노가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교실에 책상이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문장을 완성한다</t>
    </r>
    <r>
      <rPr>
        <sz val="9"/>
        <rFont val="맑은 고딕"/>
        <family val="0"/>
        <charset val="1"/>
      </rPr>
      <t xml:space="preserve">.
W-2-1-3 </t>
    </r>
    <r>
      <rPr>
        <sz val="9"/>
        <rFont val="WenQuanYi Zen Hei"/>
        <family val="2"/>
      </rPr>
      <t xml:space="preserve">인물이 하는 일을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편지를 써요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</si>
  <si>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창문을 여는 모습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창문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창문을 열어요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방에 피아노가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교실에 책상이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책을 읽어요
②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창문을 여는 모습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넣어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창문을 열어요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완성한다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여러 가지 물건 사진이나 그림을 보고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방에 피아노가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교실에 책상이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문장을 완성한다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인물이 하는 일을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편지를 써요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</si>
  <si>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문장 카드 조합 쓰기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틀 채워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예시 답안 제공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</si>
  <si>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</si>
  <si>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-06</t>
    </r>
  </si>
  <si>
    <t xml:space="preserve">어구와 문장을 받아써요</t>
  </si>
  <si>
    <r>
      <rPr>
        <sz val="9"/>
        <rFont val="WenQuanYi Zen Hei"/>
        <family val="2"/>
      </rPr>
      <t xml:space="preserve">소리와 표기의 차이를 알고 어구와 문장 단위의 받아쓰기를 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</si>
  <si>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소리와 표기의 차이를 알고 어구와 문장 단위의 받아쓰기를 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</si>
  <si>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W-2-2-1 </t>
    </r>
    <r>
      <rPr>
        <sz val="9"/>
        <rFont val="WenQuanYi Zen Hei"/>
        <family val="2"/>
      </rPr>
      <t xml:space="preserve">천천히 읽어 주는 익숙한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한국어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음악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실제 표기에 맞는 글자로 받아쓴다</t>
    </r>
    <r>
      <rPr>
        <sz val="9"/>
        <rFont val="맑은 고딕"/>
        <family val="0"/>
        <charset val="1"/>
      </rPr>
      <t xml:space="preserve">.
W-2-2-2 </t>
    </r>
    <r>
      <rPr>
        <sz val="9"/>
        <rFont val="WenQuanYi Zen Hei"/>
        <family val="2"/>
      </rPr>
      <t xml:space="preserve">그림을 보고 받침이 있는 어구와 문장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부엌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에서 요리를 해요</t>
    </r>
    <r>
      <rPr>
        <sz val="9"/>
        <rFont val="맑은 고딕"/>
        <family val="0"/>
        <charset val="1"/>
      </rPr>
      <t xml:space="preserve">. "</t>
    </r>
    <r>
      <rPr>
        <sz val="9"/>
        <rFont val="WenQuanYi Zen Hei"/>
        <family val="2"/>
      </rPr>
      <t xml:space="preserve">숲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으로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표기에 맞는 글자로 구별하여 받아쓴다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</si>
  <si>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사회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한국어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음악</t>
    </r>
    <r>
      <rPr>
        <sz val="9"/>
        <rFont val="맑은 고딕"/>
        <family val="0"/>
        <charset val="1"/>
      </rPr>
      <t xml:space="preserve">, "</t>
    </r>
    <r>
      <rPr>
        <sz val="9"/>
        <rFont val="WenQuanYi Zen Hei"/>
        <family val="2"/>
      </rPr>
      <t xml:space="preserve">부엌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에서 요리를 해요</t>
    </r>
    <r>
      <rPr>
        <sz val="9"/>
        <rFont val="맑은 고딕"/>
        <family val="0"/>
        <charset val="1"/>
      </rPr>
      <t xml:space="preserve">, "</t>
    </r>
    <r>
      <rPr>
        <sz val="9"/>
        <rFont val="WenQuanYi Zen Hei"/>
        <family val="2"/>
      </rPr>
      <t xml:space="preserve">숲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으로 가요
② 천천히 읽어 주는 익숙한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한국어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음악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실제 표기에 맞는 글자로 받아쓴다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그림을 보고 받침이 있는 어구와 문장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부엌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에서 요리를 해요</t>
    </r>
    <r>
      <rPr>
        <sz val="9"/>
        <rFont val="맑은 고딕"/>
        <family val="0"/>
        <charset val="1"/>
      </rPr>
      <t xml:space="preserve">. "</t>
    </r>
    <r>
      <rPr>
        <sz val="9"/>
        <rFont val="WenQuanYi Zen Hei"/>
        <family val="2"/>
      </rPr>
      <t xml:space="preserve">숲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으로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표기에 맞는 글자로 구별하여 …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W-2-2-1·W-2-2-2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</si>
  <si>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</t>
    </r>
  </si>
  <si>
    <t xml:space="preserve">겪은 일을 여러 문장으로 써요</t>
  </si>
  <si>
    <r>
      <rPr>
        <sz val="9"/>
        <rFont val="WenQuanYi Zen Hei"/>
        <family val="2"/>
      </rPr>
      <t xml:space="preserve">겪은 일을 여러 개의 문장으로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</si>
  <si>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일을 여러 개의 문장으로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</si>
  <si>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W-2-3-1 </t>
    </r>
    <r>
      <rPr>
        <sz val="9"/>
        <rFont val="WenQuanYi Zen Hei"/>
        <family val="2"/>
      </rPr>
      <t xml:space="preserve">사진 또는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놀이동산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수영장 사진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겪은 일에 관해 여러 개의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 동산에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놀이 기구를 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재밌었어요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</si>
  <si>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놀이동산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수영장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 동산에 갔어요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 기구를 탔어요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재밌었어요
② 사진 또는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놀이동산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수영장 사진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겪은 일에 관해 여러 개의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 동산에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놀이 기구를 …
③ 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W-2-3-1)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</si>
  <si>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</si>
  <si>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-08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</si>
  <si>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</t>
    </r>
  </si>
  <si>
    <t xml:space="preserve">까닭과 장소를 넣어 문장을 써요</t>
  </si>
  <si>
    <r>
      <rPr>
        <sz val="9"/>
        <rFont val="맑은 고딕"/>
        <family val="0"/>
        <charset val="1"/>
      </rPr>
      <t xml:space="preserve">W-3-1-1 </t>
    </r>
    <r>
      <rPr>
        <sz val="9"/>
        <rFont val="WenQuanYi Zen Hei"/>
        <family val="2"/>
      </rPr>
      <t xml:space="preserve">대상과 특징을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강아지가 귀여워요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W-3-1-2 </t>
    </r>
    <r>
      <rPr>
        <sz val="9"/>
        <rFont val="WenQuanYi Zen Hei"/>
        <family val="2"/>
      </rPr>
      <t xml:space="preserve">장소를 나타내는 말을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놀이터에서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W-3-1-3 </t>
    </r>
    <r>
      <rPr>
        <sz val="9"/>
        <rFont val="WenQuanYi Zen Hei"/>
        <family val="2"/>
      </rPr>
      <t xml:space="preserve">알맞은 까닭을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김밥은 맛있어서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졸려서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W-3-1-4 </t>
    </r>
    <r>
      <rPr>
        <sz val="9"/>
        <rFont val="WenQuanYi Zen Hei"/>
        <family val="2"/>
      </rPr>
      <t xml:space="preserve">두 가지 행동을 이어서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빵을 먹고 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</si>
  <si>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강아지가 귀여워요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놀이터에서 놀아요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김밥은 맛있어서 좋아요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졸려서 자요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빵을 먹고 책을 읽어요
② 대상과 특징을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강아지가 귀여워요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장소를 나타내는 말을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놀이터에서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알맞은 까닭을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김밥은 맛있어서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졸려서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</si>
  <si>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</si>
  <si>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</t>
    </r>
  </si>
  <si>
    <t xml:space="preserve">시제에 맞게 문장을 써요</t>
  </si>
  <si>
    <t xml:space="preserve">W-3-2-1, W-3-2-2, W-3-2-3</t>
  </si>
  <si>
    <r>
      <rPr>
        <sz val="9"/>
        <rFont val="맑은 고딕"/>
        <family val="0"/>
        <charset val="1"/>
      </rPr>
      <t xml:space="preserve">W-3-2-1 </t>
    </r>
    <r>
      <rPr>
        <sz val="9"/>
        <rFont val="WenQuanYi Zen Hei"/>
        <family val="2"/>
      </rPr>
      <t xml:space="preserve">그림을 보고 주어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어머니께서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서술어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책을 읽으세요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어울리는 문장을 쓴다</t>
    </r>
    <r>
      <rPr>
        <sz val="9"/>
        <rFont val="맑은 고딕"/>
        <family val="0"/>
        <charset val="1"/>
      </rPr>
      <t xml:space="preserve">.
W-3-2-2 </t>
    </r>
    <r>
      <rPr>
        <sz val="9"/>
        <rFont val="WenQuanYi Zen Hei"/>
        <family val="2"/>
      </rPr>
      <t xml:space="preserve">주어진 두 가지 이상의 낱말을 자연스럽게 이어 문장을 만든다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학교에 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
W-3-2-3 </t>
    </r>
    <r>
      <rPr>
        <sz val="9"/>
        <rFont val="WenQuanYi Zen Hei"/>
        <family val="2"/>
      </rPr>
      <t xml:space="preserve">시제에 맞는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지금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하고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할 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완성한다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</si>
  <si>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친구가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어머니께서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책을 읽으세요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학교에 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교실에서 공부해요
② 그림을 보고 주어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어머니께서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서술어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책을 읽으세요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어울리는 문장을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주어진 두 가지 이상의 낱말을 자연스럽게 이어 문장을 만든다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학교에 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시제에 맞는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지금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하고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할 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완성한다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</si>
  <si>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</si>
  <si>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-11</t>
    </r>
  </si>
  <si>
    <t xml:space="preserve">편지를 써요</t>
  </si>
  <si>
    <t xml:space="preserve">W-3-3-1, W-3-3-2</t>
  </si>
  <si>
    <r>
      <rPr>
        <sz val="9"/>
        <rFont val="맑은 고딕"/>
        <family val="0"/>
        <charset val="1"/>
      </rPr>
      <t xml:space="preserve">W-3-3-1 </t>
    </r>
    <r>
      <rPr>
        <sz val="9"/>
        <rFont val="WenQuanYi Zen Hei"/>
        <family val="2"/>
      </rPr>
      <t xml:space="preserve">소개하거나 설명할 대상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학용품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이름과 특징을 쓴다</t>
    </r>
    <r>
      <rPr>
        <sz val="9"/>
        <rFont val="맑은 고딕"/>
        <family val="0"/>
        <charset val="1"/>
      </rPr>
      <t xml:space="preserve">.
W-3-3-2 </t>
    </r>
    <r>
      <rPr>
        <sz val="9"/>
        <rFont val="WenQuanYi Zen Hei"/>
        <family val="2"/>
      </rPr>
      <t xml:space="preserve">읽는 사람에게 전하고 싶은 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글을 쓰는 까닭이 드러나게 편지를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</si>
  <si>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가족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학용품
② 소개하거나 설명할 대상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학용품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이름과 특징을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읽는 사람에게 전하고 싶은 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글을 쓰는 까닭이 드러나게 편지를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W-3-3-1·W-3-3-2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</si>
  <si>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</t>
    </r>
  </si>
  <si>
    <t xml:space="preserve">문자와 게시글로 알려요</t>
  </si>
  <si>
    <r>
      <rPr>
        <sz val="9"/>
        <rFont val="WenQuanYi Zen Hei"/>
        <family val="2"/>
      </rPr>
      <t xml:space="preserve">일상과 학교생활에서 필요한 정보를 전달하는 글을 간략하게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</si>
  <si>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학교생활에서 필요한 정보를 전달하는 글을 간략하게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</si>
  <si>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W-3-4-1 </t>
    </r>
    <r>
      <rPr>
        <sz val="9"/>
        <rFont val="WenQuanYi Zen Hei"/>
        <family val="2"/>
      </rPr>
      <t xml:space="preserve">일상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문자 메세지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간략하게 쓴다</t>
    </r>
    <r>
      <rPr>
        <sz val="9"/>
        <rFont val="맑은 고딕"/>
        <family val="0"/>
        <charset val="1"/>
      </rPr>
      <t xml:space="preserve">.
W-3-4-2 </t>
    </r>
    <r>
      <rPr>
        <sz val="9"/>
        <rFont val="WenQuanYi Zen Hei"/>
        <family val="2"/>
      </rPr>
      <t xml:space="preserve">학교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간략하게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</si>
  <si>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문자 메세지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
② 일상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문자 메세지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간략하게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학교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간략하게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W-3-4-1·W-3-4-2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</si>
  <si>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</si>
  <si>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-13</t>
    </r>
  </si>
  <si>
    <t xml:space="preserve">근거를 들어 생각을 써요</t>
  </si>
  <si>
    <r>
      <rPr>
        <sz val="9"/>
        <rFont val="WenQuanYi Zen Hei"/>
        <family val="2"/>
      </rPr>
      <t xml:space="preserve">주제가 드러나게 글을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</si>
  <si>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주제가 드러나게 글을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</si>
  <si>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W-4-1-1 </t>
    </r>
    <r>
      <rPr>
        <sz val="9"/>
        <rFont val="WenQuanYi Zen Hei"/>
        <family val="2"/>
      </rPr>
      <t xml:space="preserve">정한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학급 회의 안건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학급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체험학습 보고서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생각이나 주장을 뒷받침하는 이유를 들어 글을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</si>
  <si>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학급 회의 안건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학급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체험학습 보고서
② 정한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학급 회의 안건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학급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체험학습 보고서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생각이나 주장을 뒷받침하는 이유를 들어 글을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W-4-1-1)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</si>
  <si>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-18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</si>
  <si>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</si>
  <si>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t xml:space="preserve">문장을 바르게 고쳐 써요</t>
  </si>
  <si>
    <r>
      <rPr>
        <sz val="9"/>
        <rFont val="맑은 고딕"/>
        <family val="0"/>
        <charset val="1"/>
      </rPr>
      <t xml:space="preserve">W-4-2-1 </t>
    </r>
    <r>
      <rPr>
        <sz val="9"/>
        <rFont val="WenQuanYi Zen Hei"/>
        <family val="2"/>
      </rPr>
      <t xml:space="preserve">주어와 서술어가 어울리도록 문장을 쓴다</t>
    </r>
    <r>
      <rPr>
        <sz val="9"/>
        <rFont val="맑은 고딕"/>
        <family val="0"/>
        <charset val="1"/>
      </rPr>
      <t xml:space="preserve">.
W-4-2-2 </t>
    </r>
    <r>
      <rPr>
        <sz val="9"/>
        <rFont val="WenQuanYi Zen Hei"/>
        <family val="2"/>
      </rPr>
      <t xml:space="preserve">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 등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어미</t>
    </r>
    <r>
      <rPr>
        <sz val="9"/>
        <rFont val="맑은 고딕"/>
        <family val="0"/>
        <charset val="1"/>
      </rPr>
      <t xml:space="preserve">(-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,-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,-</t>
    </r>
    <r>
      <rPr>
        <sz val="9"/>
        <rFont val="WenQuanYi Zen Hei"/>
        <family val="2"/>
      </rPr>
      <t xml:space="preserve">다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시제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과거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미래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고쳐 문장을 다시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</si>
  <si>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과거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현재
② 주어와 서술어가 어울리도록 문장을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 등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어미</t>
    </r>
    <r>
      <rPr>
        <sz val="9"/>
        <rFont val="맑은 고딕"/>
        <family val="0"/>
        <charset val="1"/>
      </rPr>
      <t xml:space="preserve">(-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,-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,-</t>
    </r>
    <r>
      <rPr>
        <sz val="9"/>
        <rFont val="WenQuanYi Zen Hei"/>
        <family val="2"/>
      </rPr>
      <t xml:space="preserve">다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시제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과거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미래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고쳐 문장을 다시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W-4-2-1·W-4-2-2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</si>
  <si>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틀 채워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예시 답안 제공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고쳐 쓰기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</si>
  <si>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</si>
  <si>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</si>
  <si>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t xml:space="preserve">시간 순서대로 일기를 써요</t>
  </si>
  <si>
    <r>
      <rPr>
        <sz val="9"/>
        <rFont val="WenQuanYi Zen Hei"/>
        <family val="2"/>
      </rPr>
      <t xml:space="preserve">자신의 경험과 감정이 잘 드러나게 일기를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</si>
  <si>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자신의 경험과 감정이 잘 드러나게 일기를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</si>
  <si>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W-4-3-1 </t>
    </r>
    <r>
      <rPr>
        <sz val="9"/>
        <rFont val="WenQuanYi Zen Hei"/>
        <family val="2"/>
      </rPr>
      <t xml:space="preserve">자신이 겪은 일을 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행동이 드러나게 쓰고 그에 대한 느낌이나 생각을 쓴다</t>
    </r>
    <r>
      <rPr>
        <sz val="9"/>
        <rFont val="맑은 고딕"/>
        <family val="0"/>
        <charset val="1"/>
      </rPr>
      <t xml:space="preserve">.
W-4-3-2 </t>
    </r>
    <r>
      <rPr>
        <sz val="9"/>
        <rFont val="WenQuanYi Zen Hei"/>
        <family val="2"/>
      </rPr>
      <t xml:space="preserve">경험한 일을 시간에 따라 순서대로 쓰고 경험을 통해 느낀점을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</si>
  <si>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자신이 겪은 일을 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행동이 드러나게 쓰고 그에 대한 느낌이나 생각을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경험한 일을 시간에 따라 순서대로 쓰고 경험을 통해 느낀점을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W-4-3-1·W-4-3-2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</si>
  <si>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</si>
  <si>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</si>
  <si>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t xml:space="preserve">학교 행사를 알리는 글을 써요</t>
  </si>
  <si>
    <r>
      <rPr>
        <sz val="9"/>
        <rFont val="WenQuanYi Zen Hei"/>
        <family val="2"/>
      </rPr>
      <t xml:space="preserve">일상과 학교생활에서 필요한 정보를 전달하는 글을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</si>
  <si>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학교생활에서 필요한 정보를 전달하는 글을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</si>
  <si>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W-4-4-1 </t>
    </r>
    <r>
      <rPr>
        <sz val="9"/>
        <rFont val="WenQuanYi Zen Hei"/>
        <family val="2"/>
      </rPr>
      <t xml:space="preserve">일상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문자 메세지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W-4-4-2 </t>
    </r>
    <r>
      <rPr>
        <sz val="9"/>
        <rFont val="WenQuanYi Zen Hei"/>
        <family val="2"/>
      </rPr>
      <t xml:space="preserve">학교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</si>
  <si>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문자 메세지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
② 일상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문자 메세지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학교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W-4-4-1·W-4-4-2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</si>
  <si>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</si>
  <si>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</si>
  <si>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</t>
    </r>
  </si>
  <si>
    <t xml:space="preserve">낱말을 듣고 찾아요</t>
  </si>
  <si>
    <t xml:space="preserve">L-1-1-1, L-1-1-2, L-1-1-3, L-1-1-4, L-1-1-5</t>
  </si>
  <si>
    <r>
      <rPr>
        <sz val="9"/>
        <rFont val="맑은 고딕"/>
        <family val="0"/>
        <charset val="1"/>
      </rPr>
      <t xml:space="preserve">L-1-1-1 </t>
    </r>
    <r>
      <rPr>
        <sz val="9"/>
        <rFont val="WenQuanYi Zen Hei"/>
        <family val="2"/>
      </rPr>
      <t xml:space="preserve">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공책 등의 학용품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
L-1-1-2 </t>
    </r>
    <r>
      <rPr>
        <sz val="9"/>
        <rFont val="WenQuanYi Zen Hei"/>
        <family val="2"/>
      </rPr>
      <t xml:space="preserve">음식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
L-1-1-3 </t>
    </r>
    <r>
      <rPr>
        <sz val="9"/>
        <rFont val="WenQuanYi Zen Hei"/>
        <family val="2"/>
      </rPr>
      <t xml:space="preserve">생활 용품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
L-1-1-4 </t>
    </r>
    <r>
      <rPr>
        <sz val="9"/>
        <rFont val="WenQuanYi Zen Hei"/>
        <family val="2"/>
      </rPr>
      <t xml:space="preserve">신체 부위의 명칭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자신의 신체에서 해당 부위를 짚는다</t>
    </r>
    <r>
      <rPr>
        <sz val="9"/>
        <rFont val="맑은 고딕"/>
        <family val="0"/>
        <charset val="1"/>
      </rPr>
      <t xml:space="preserve">.
L-1-1-5 </t>
    </r>
    <r>
      <rPr>
        <sz val="9"/>
        <rFont val="WenQuanYi Zen Hei"/>
        <family val="2"/>
      </rPr>
      <t xml:space="preserve">말하는 색깔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빨강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찾아 손으로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</si>
  <si>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</si>
  <si>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-03</t>
    </r>
  </si>
  <si>
    <t xml:space="preserve">학교 규칙을 듣고 지켜요</t>
  </si>
  <si>
    <r>
      <rPr>
        <sz val="9"/>
        <rFont val="WenQuanYi Zen Hei"/>
        <family val="2"/>
      </rPr>
      <t xml:space="preserve">학교에서 사용하는 지시를 듣고 따를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</si>
  <si>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학교에서 사용하는 지시를 듣고 따를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</si>
  <si>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L-1-3-1 </t>
    </r>
    <r>
      <rPr>
        <sz val="9"/>
        <rFont val="WenQuanYi Zen Hei"/>
        <family val="2"/>
      </rPr>
      <t xml:space="preserve">학교에서 사용하는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실내화를 신으세요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복도에서 뛰지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행동을 한다</t>
    </r>
    <r>
      <rPr>
        <sz val="9"/>
        <rFont val="맑은 고딕"/>
        <family val="0"/>
        <charset val="1"/>
      </rPr>
      <t xml:space="preserve">.
L-1-3-2 </t>
    </r>
    <r>
      <rPr>
        <sz val="9"/>
        <rFont val="WenQuanYi Zen Hei"/>
        <family val="2"/>
      </rPr>
      <t xml:space="preserve">수업 시간 내 사용하는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실험도구를 만지지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사용 후 제자리에 놓으세요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행동을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</si>
  <si>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실내화를 신으세요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복도에서 뛰지 마세요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실험도구를 만지지 마세요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사용 후 제자리에 놓으세요
② 학교에서 사용하는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실내화를 신으세요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복도에서 뛰지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행동을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수업 시간 내 사용하는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실험도구를 만지지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사용 후 제자리에 놓으세요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행동을 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L-1-3-1·L-1-3-2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</si>
  <si>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</si>
  <si>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</t>
    </r>
  </si>
  <si>
    <t xml:space="preserve">비슷한 소리를 구별해요</t>
  </si>
  <si>
    <r>
      <rPr>
        <sz val="9"/>
        <rFont val="맑은 고딕"/>
        <family val="0"/>
        <charset val="1"/>
      </rPr>
      <t xml:space="preserve">L-1-4-1 </t>
    </r>
    <r>
      <rPr>
        <sz val="9"/>
        <rFont val="WenQuanYi Zen Hei"/>
        <family val="2"/>
      </rPr>
      <t xml:space="preserve">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소리와 일치하는 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이리 중에서 찾기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찾는다</t>
    </r>
    <r>
      <rPr>
        <sz val="9"/>
        <rFont val="맑은 고딕"/>
        <family val="0"/>
        <charset val="1"/>
      </rPr>
      <t xml:space="preserve">.
L-1-4-2 </t>
    </r>
    <r>
      <rPr>
        <sz val="9"/>
        <rFont val="WenQuanYi Zen Hei"/>
        <family val="2"/>
      </rPr>
      <t xml:space="preserve">비슷한 소리가 나는 두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볼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달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구별하여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</si>
  <si>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이리 중에서 찾기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볼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달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딸
②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소리와 일치하는 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이리 중에서 찾기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비슷한 소리가 나는 두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볼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달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구별하여 가리킨다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L-1-4-1·L-1-4-2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</si>
  <si>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</si>
  <si>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-05</t>
    </r>
  </si>
  <si>
    <t xml:space="preserve">길을 묻고 답하는 대화를 들어요</t>
  </si>
  <si>
    <r>
      <rPr>
        <sz val="9"/>
        <rFont val="WenQuanYi Zen Hei"/>
        <family val="2"/>
      </rPr>
      <t xml:space="preserve">일상과 학교생활에서 자주 사용하는 기초적인 대화 내용을 듣고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</si>
  <si>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학교생활에서 자주 사용하는 기초적인 대화 내용을 듣고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</si>
  <si>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L-2-1-1 </t>
    </r>
    <r>
      <rPr>
        <sz val="9"/>
        <rFont val="WenQuanYi Zen Hei"/>
        <family val="2"/>
      </rPr>
      <t xml:space="preserve">도움을 요청하는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병원이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병원은 육교를 건너서 가요</t>
    </r>
    <r>
      <rPr>
        <sz val="9"/>
        <rFont val="맑은 고딕"/>
        <family val="0"/>
        <charset val="1"/>
      </rPr>
      <t xml:space="preserve">., </t>
    </r>
    <r>
      <rPr>
        <sz val="9"/>
        <rFont val="WenQuanYi Zen Hei"/>
        <family val="2"/>
      </rPr>
      <t xml:space="preserve">경찰서는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경찰서는 마트 오른쪽에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교사의…
</t>
    </r>
    <r>
      <rPr>
        <sz val="9"/>
        <rFont val="맑은 고딕"/>
        <family val="0"/>
        <charset val="1"/>
      </rPr>
      <t xml:space="preserve">L-2-1-2 </t>
    </r>
    <r>
      <rPr>
        <sz val="9"/>
        <rFont val="WenQuanYi Zen Hei"/>
        <family val="2"/>
      </rPr>
      <t xml:space="preserve">정보를 묻는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안내된 정보를 고른다</t>
    </r>
    <r>
      <rPr>
        <sz val="9"/>
        <rFont val="맑은 고딕"/>
        <family val="0"/>
        <charset val="1"/>
      </rPr>
      <t xml:space="preserve">.
L-2-1-3 </t>
    </r>
    <r>
      <rPr>
        <sz val="9"/>
        <rFont val="WenQuanYi Zen Hei"/>
        <family val="2"/>
      </rPr>
      <t xml:space="preserve">감정을 나타내는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 기분이 어때요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기분이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떨려요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화가 나요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감정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</si>
  <si>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병원이 어디에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병원은 육교를 건너서 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경찰서는 어디에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경찰서는 마트 오른쪽에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 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병원은 어디에 있어요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도움을 요청하는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병원이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병원은 육교를 건너서 가요</t>
    </r>
    <r>
      <rPr>
        <sz val="9"/>
        <rFont val="맑은 고딕"/>
        <family val="0"/>
        <charset val="1"/>
      </rPr>
      <t xml:space="preserve">., </t>
    </r>
    <r>
      <rPr>
        <sz val="9"/>
        <rFont val="WenQuanYi Zen Hei"/>
        <family val="2"/>
      </rPr>
      <t xml:space="preserve">경찰서는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경찰서는 마트 오…
③ 정보를 묻는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안내된 정보를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감정을 나타내는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 기분이 어때요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기분이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떨려요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화가 나요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등…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</si>
  <si>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표시하기</t>
    </r>
    <r>
      <rPr>
        <sz val="9"/>
        <rFont val="맑은 고딕"/>
        <family val="0"/>
        <charset val="1"/>
      </rPr>
      <t xml:space="preserve">(O/X)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</si>
  <si>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-06</t>
    </r>
  </si>
  <si>
    <r>
      <rPr>
        <sz val="9"/>
        <rFont val="WenQuanYi Zen Hei"/>
        <family val="2"/>
      </rPr>
      <t xml:space="preserve">수업에서 자주 쓰는 문장을 듣고 의미를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</si>
  <si>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수업에서 자주 쓰는 문장을 듣고 의미를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</si>
  <si>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L-2-2-1 </t>
    </r>
    <r>
      <rPr>
        <sz val="9"/>
        <rFont val="WenQuanYi Zen Hei"/>
        <family val="2"/>
      </rPr>
      <t xml:space="preserve">교사의 수업 안내 문장</t>
    </r>
    <r>
      <rPr>
        <sz val="9"/>
        <rFont val="맑은 고딕"/>
        <family val="0"/>
        <charset val="1"/>
      </rPr>
      <t xml:space="preserve">(~~</t>
    </r>
    <r>
      <rPr>
        <sz val="9"/>
        <rFont val="WenQuanYi Zen Hei"/>
        <family val="2"/>
      </rPr>
      <t xml:space="preserve">를 조사하세요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알맞은 그림을 찾아보세요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모둠을 만드세요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</si>
  <si>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~~</t>
    </r>
    <r>
      <rPr>
        <sz val="9"/>
        <rFont val="WenQuanYi Zen Hei"/>
        <family val="2"/>
      </rPr>
      <t xml:space="preserve">를 조사하세요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그림을 찾아보세요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모둠을 만드세요
② 교사의 수업 안내 문장</t>
    </r>
    <r>
      <rPr>
        <sz val="9"/>
        <rFont val="맑은 고딕"/>
        <family val="0"/>
        <charset val="1"/>
      </rPr>
      <t xml:space="preserve">(~~</t>
    </r>
    <r>
      <rPr>
        <sz val="9"/>
        <rFont val="WenQuanYi Zen Hei"/>
        <family val="2"/>
      </rPr>
      <t xml:space="preserve">를 조사하세요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알맞은 그림을 찾아보세요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모둠을 만드세요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L-2-2-1)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</si>
  <si>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-07</t>
    </r>
  </si>
  <si>
    <t xml:space="preserve">위치와 색깔을 듣고 찾아요</t>
  </si>
  <si>
    <r>
      <rPr>
        <sz val="9"/>
        <rFont val="맑은 고딕"/>
        <family val="0"/>
        <charset val="1"/>
      </rPr>
      <t xml:space="preserve">L-2-3-1 </t>
    </r>
    <r>
      <rPr>
        <sz val="9"/>
        <rFont val="WenQuanYi Zen Hei"/>
        <family val="2"/>
      </rPr>
      <t xml:space="preserve">주변 사물의 위치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필통 안에 자가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사물함 안에 휴지가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그림을 손가락으로 가리킨다</t>
    </r>
    <r>
      <rPr>
        <sz val="9"/>
        <rFont val="맑은 고딕"/>
        <family val="0"/>
        <charset val="1"/>
      </rPr>
      <t xml:space="preserve">.
L-2-3-2 </t>
    </r>
    <r>
      <rPr>
        <sz val="9"/>
        <rFont val="WenQuanYi Zen Hei"/>
        <family val="2"/>
      </rPr>
      <t xml:space="preserve">주변 대상의 색깔이나 크기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작은 자전거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녹색 신호등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하얀 구름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</si>
  <si>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필통 안에 자가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사물함 안에 휴지가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작은 자전거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녹색 신호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하얀 구름
② 주변 사물의 위치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필통 안에 자가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사물함 안에 휴지가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그림을 손가락으로 가리킨다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주변 대상의 색깔이나 크기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작은 자전거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녹색 신호등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하얀 구름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맞는 그림을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L-2-3-1·L-2-3-2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</si>
  <si>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-08</t>
    </r>
  </si>
  <si>
    <r>
      <rPr>
        <sz val="9"/>
        <rFont val="맑은 고딕"/>
        <family val="0"/>
        <charset val="1"/>
      </rPr>
      <t xml:space="preserve">L-2-4-1 </t>
    </r>
    <r>
      <rPr>
        <sz val="9"/>
        <rFont val="WenQuanYi Zen Hei"/>
        <family val="2"/>
      </rPr>
      <t xml:space="preserve">천천히 말한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공책과 필통이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문장과 맞는 그림을 고른다</t>
    </r>
    <r>
      <rPr>
        <sz val="9"/>
        <rFont val="맑은 고딕"/>
        <family val="0"/>
        <charset val="1"/>
      </rPr>
      <t xml:space="preserve">.
L-2-4-2 </t>
    </r>
    <r>
      <rPr>
        <sz val="9"/>
        <rFont val="WenQuanYi Zen Hei"/>
        <family val="2"/>
      </rPr>
      <t xml:space="preserve">천천히 말한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몇 월 며칠이에요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답한다</t>
    </r>
    <r>
      <rPr>
        <sz val="9"/>
        <rFont val="맑은 고딕"/>
        <family val="0"/>
        <charset val="1"/>
      </rPr>
      <t xml:space="preserve">.
L-2-4-3 </t>
    </r>
    <r>
      <rPr>
        <sz val="9"/>
        <rFont val="WenQuanYi Zen Hei"/>
        <family val="2"/>
      </rPr>
      <t xml:space="preserve">천천히 말한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큰 소리로 말하세요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</si>
  <si>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가방 안에 공책과 필통이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오늘은 몇 월 며칠이에요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큰 소리로 말하세요
② 천천히 말한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공책과 필통이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문장과 맞는 그림을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천천히 말한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몇 월 며칠이에요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천천히 말한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큰 소리로 말하세요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</si>
  <si>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</t>
    </r>
  </si>
  <si>
    <t xml:space="preserve">취미와 가족 여행 이야기를 들어요</t>
  </si>
  <si>
    <r>
      <rPr>
        <sz val="9"/>
        <rFont val="WenQuanYi Zen Hei"/>
        <family val="2"/>
      </rPr>
      <t xml:space="preserve">친숙한 주제에 관한 이야기를 듣고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</si>
  <si>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주제에 관한 이야기를 듣고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</si>
  <si>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L-3-1-1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취미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행사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질문에 알맞게 답한다</t>
    </r>
    <r>
      <rPr>
        <sz val="9"/>
        <rFont val="맑은 고딕"/>
        <family val="0"/>
        <charset val="1"/>
      </rPr>
      <t xml:space="preserve">.
L-3-1-2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</si>
  <si>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취미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
② 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취미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행사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질문에 알맞게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L-3-1-1·L-3-1-2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</si>
  <si>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</si>
  <si>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</t>
    </r>
  </si>
  <si>
    <t xml:space="preserve">다음에 일어날 일을 짐작해요</t>
  </si>
  <si>
    <r>
      <rPr>
        <sz val="9"/>
        <rFont val="WenQuanYi Zen Hei"/>
        <family val="2"/>
      </rPr>
      <t xml:space="preserve">대화나 이야기를 듣고 이어질 내용을 짐작할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</si>
  <si>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대화나 이야기를 듣고 이어질 내용을 짐작할 수 있다</t>
    </r>
    <r>
      <rPr>
        <sz val="9"/>
        <rFont val="맑은 고딕"/>
        <family val="0"/>
        <charset val="1"/>
      </rPr>
      <t xml:space="preserve">.</t>
    </r>
  </si>
  <si>
    <t xml:space="preserve">L-3-2-1, L-3-2-2</t>
  </si>
  <si>
    <r>
      <rPr>
        <sz val="9"/>
        <rFont val="맑은 고딕"/>
        <family val="0"/>
        <charset val="1"/>
      </rPr>
      <t xml:space="preserve">L-3-2-1 </t>
    </r>
    <r>
      <rPr>
        <sz val="9"/>
        <rFont val="WenQuanYi Zen Hei"/>
        <family val="2"/>
      </rPr>
      <t xml:space="preserve">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날씨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비가 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추워요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이어질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우산을 가져가요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두꺼운 옷을 입으세요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짐작해 답한다</t>
    </r>
    <r>
      <rPr>
        <sz val="9"/>
        <rFont val="맑은 고딕"/>
        <family val="0"/>
        <charset val="1"/>
      </rPr>
      <t xml:space="preserve">.
L-3-2-2 </t>
    </r>
    <r>
      <rPr>
        <sz val="9"/>
        <rFont val="WenQuanYi Zen Hei"/>
        <family val="2"/>
      </rPr>
      <t xml:space="preserve">이야기의 앞부분을 듣고 이어질 내용에 해당하는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</si>
  <si>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날씨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비가 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추워요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우산을 가져가요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두꺼운 옷을 입으세요
②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날씨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비가 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추워요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이어질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우산을 가져가요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두꺼운 옷을 입으세요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짐작해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이야기의 앞부분을 듣고 이어질 내용에 해당하는 그림을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L-3-2-1·L-3-2-2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</si>
  <si>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</si>
  <si>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</t>
    </r>
  </si>
  <si>
    <t xml:space="preserve">학교 안내와 생활 안내를 들어요</t>
  </si>
  <si>
    <r>
      <rPr>
        <sz val="9"/>
        <rFont val="WenQuanYi Zen Hei"/>
        <family val="2"/>
      </rPr>
      <t xml:space="preserve">일상과 학교생활에서의 안내를 듣고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</si>
  <si>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학교생활에서의 안내를 듣고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</si>
  <si>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L-3-3-1 </t>
    </r>
    <r>
      <rPr>
        <sz val="9"/>
        <rFont val="WenQuanYi Zen Hei"/>
        <family val="2"/>
      </rPr>
      <t xml:space="preserve">학교생활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체육대회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건강 위생관리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내용에 알맞은 그림을 고른다</t>
    </r>
    <r>
      <rPr>
        <sz val="9"/>
        <rFont val="맑은 고딕"/>
        <family val="0"/>
        <charset val="1"/>
      </rPr>
      <t xml:space="preserve">.
L-3-3-2 </t>
    </r>
    <r>
      <rPr>
        <sz val="9"/>
        <rFont val="WenQuanYi Zen Hei"/>
        <family val="2"/>
      </rPr>
      <t xml:space="preserve">일상생활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지역별 일기 예보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키오스크 사용 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지역 행사 알림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질문에 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</si>
  <si>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체육대회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건강 위생관리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지역별 일기 예보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키오스크 사용 방법
② 학교생활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체육대회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건강 위생관리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내용에 알맞은 그림을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일상생활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지역별 일기 예보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키오스크 사용 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지역 행사 알림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질문에 맞는 그림을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L-3-3-1·L-3-3-2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</si>
  <si>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</si>
  <si>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</t>
    </r>
  </si>
  <si>
    <t xml:space="preserve">이야기를 듣고 사건 순서를 알아요</t>
  </si>
  <si>
    <r>
      <rPr>
        <sz val="9"/>
        <rFont val="WenQuanYi Zen Hei"/>
        <family val="2"/>
      </rPr>
      <t xml:space="preserve">짧은 이야기를 듣고 대부분의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</si>
  <si>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이야기를 듣고 대부분의 내용을 파악할 수 있다</t>
    </r>
    <r>
      <rPr>
        <sz val="9"/>
        <rFont val="맑은 고딕"/>
        <family val="0"/>
        <charset val="1"/>
      </rPr>
      <t xml:space="preserve">.</t>
    </r>
  </si>
  <si>
    <t xml:space="preserve">L-3-4-1, L-3-4-2, L-3-4-3, L-3-4-4</t>
  </si>
  <si>
    <r>
      <rPr>
        <sz val="9"/>
        <rFont val="맑은 고딕"/>
        <family val="0"/>
        <charset val="1"/>
      </rPr>
      <t xml:space="preserve">L-3-4-1 </t>
    </r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(3~4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인물과 배경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
L-3-4-2 </t>
    </r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학교에서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일상생활 경험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일어난 주요 사건을 순서대로 나열한다</t>
    </r>
    <r>
      <rPr>
        <sz val="9"/>
        <rFont val="맑은 고딕"/>
        <family val="0"/>
        <charset val="1"/>
      </rPr>
      <t xml:space="preserve">.
L-3-4-3 </t>
    </r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학교에서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일상생활 경험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내용을 연결한다</t>
    </r>
    <r>
      <rPr>
        <sz val="9"/>
        <rFont val="맑은 고딕"/>
        <family val="0"/>
        <charset val="1"/>
      </rPr>
      <t xml:space="preserve">.
L-3-4-4 </t>
    </r>
    <r>
      <rPr>
        <sz val="9"/>
        <rFont val="WenQuanYi Zen Hei"/>
        <family val="2"/>
      </rPr>
      <t xml:space="preserve">이야기를 다 듣고 중심이 되는 가장 중요한 문장을 하나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</si>
  <si>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3~4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학교에서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일상생활 경험
② 짧은 이야기</t>
    </r>
    <r>
      <rPr>
        <sz val="9"/>
        <rFont val="맑은 고딕"/>
        <family val="0"/>
        <charset val="1"/>
      </rPr>
      <t xml:space="preserve">(3~4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인물과 배경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학교에서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일상생활 경험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일어난 주요 사건을 순서대로 나열한다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학교에서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일상생활 경험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내용을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</si>
  <si>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선 잇기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</si>
  <si>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</si>
  <si>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-13</t>
    </r>
  </si>
  <si>
    <t xml:space="preserve">수업 설명에서 핵심 낱말을 찾아요</t>
  </si>
  <si>
    <r>
      <rPr>
        <sz val="9"/>
        <rFont val="WenQuanYi Zen Hei"/>
        <family val="2"/>
      </rPr>
      <t xml:space="preserve">수업과 관련된 주제의 이야기를 듣고 핵심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</si>
  <si>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수업과 관련된 주제의 이야기를 듣고 핵심 내용을 파악할 수 있다</t>
    </r>
    <r>
      <rPr>
        <sz val="9"/>
        <rFont val="맑은 고딕"/>
        <family val="0"/>
        <charset val="1"/>
      </rPr>
      <t xml:space="preserve">.</t>
    </r>
  </si>
  <si>
    <t xml:space="preserve">L-4-1-1, L-4-1-2, L-4-1-3</t>
  </si>
  <si>
    <r>
      <rPr>
        <sz val="9"/>
        <rFont val="맑은 고딕"/>
        <family val="0"/>
        <charset val="1"/>
      </rPr>
      <t xml:space="preserve">L-4-1-1 </t>
    </r>
    <r>
      <rPr>
        <sz val="9"/>
        <rFont val="WenQuanYi Zen Hei"/>
        <family val="2"/>
      </rPr>
      <t xml:space="preserve">교과 관련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물질의 상태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가장 중요한 개념어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액체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고른다</t>
    </r>
    <r>
      <rPr>
        <sz val="9"/>
        <rFont val="맑은 고딕"/>
        <family val="0"/>
        <charset val="1"/>
      </rPr>
      <t xml:space="preserve">.
L-4-1-2 </t>
    </r>
    <r>
      <rPr>
        <sz val="9"/>
        <rFont val="WenQuanYi Zen Hei"/>
        <family val="2"/>
      </rPr>
      <t xml:space="preserve">수업 중 시청각 자료를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다루고 있는 핵심 내용을 답한다</t>
    </r>
    <r>
      <rPr>
        <sz val="9"/>
        <rFont val="맑은 고딕"/>
        <family val="0"/>
        <charset val="1"/>
      </rPr>
      <t xml:space="preserve">.
L-4-1-3 </t>
    </r>
    <r>
      <rPr>
        <sz val="9"/>
        <rFont val="WenQuanYi Zen Hei"/>
        <family val="2"/>
      </rPr>
      <t xml:space="preserve">교사의 단원 도입 안내를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이번 시간에 배울 핵심 목표와 관련된 단어를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</si>
  <si>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물질의 상태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액체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고체
② 교과 관련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물질의 상태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가장 중요한 개념어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액체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수업 중 시청각 자료를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다루고 있는 핵심 내용을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교사의 단원 도입 안내를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이번 시간에 배울 핵심 목표와 관련된 단어를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</si>
  <si>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</si>
  <si>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-14</t>
    </r>
  </si>
  <si>
    <t xml:space="preserve">생활 안내를 듣고 주요 내용을 정리해요</t>
  </si>
  <si>
    <r>
      <rPr>
        <sz val="9"/>
        <rFont val="WenQuanYi Zen Hei"/>
        <family val="2"/>
      </rPr>
      <t xml:space="preserve">일상과 학교생활에 관한 내용을 듣고 주요 내용과 세부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</si>
  <si>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 관한 내용을 듣고 주요 내용과 세부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</si>
  <si>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L-4-2-1 </t>
    </r>
    <r>
      <rPr>
        <sz val="9"/>
        <rFont val="WenQuanYi Zen Hei"/>
        <family val="2"/>
      </rPr>
      <t xml:space="preserve">학교생활에 관한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학교폭력예방수칙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건강 위생관리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안전한 학교생활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언어예절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내용과 세부 내용을 찾는다</t>
    </r>
    <r>
      <rPr>
        <sz val="9"/>
        <rFont val="맑은 고딕"/>
        <family val="0"/>
        <charset val="1"/>
      </rPr>
      <t xml:space="preserve">.
L-4-2-2 </t>
    </r>
    <r>
      <rPr>
        <sz val="9"/>
        <rFont val="WenQuanYi Zen Hei"/>
        <family val="2"/>
      </rPr>
      <t xml:space="preserve">일상생활에 관한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공공서비스 이용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쓰레기 분리배출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에너지 절약 실천방법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내용과 세부 내용을 찾는다</t>
    </r>
    <r>
      <rPr>
        <sz val="9"/>
        <rFont val="맑은 고딕"/>
        <family val="0"/>
        <charset val="1"/>
      </rPr>
      <t xml:space="preserve">.
L-4-2-3 </t>
    </r>
    <r>
      <rPr>
        <sz val="9"/>
        <rFont val="WenQuanYi Zen Hei"/>
        <family val="2"/>
      </rPr>
      <t xml:space="preserve">학교 행사 안내 방송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체육대회 일정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행사의 주요 목적과 세부적인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단체 티셔츠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</si>
  <si>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학교폭력예방수칙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건강 위생관리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안전한 학교생활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언어예절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공공서비스 이용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쓰레기 분리배출
② 학교생활에 관한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학교폭력예방수칙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건강 위생관리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안전한 학교생활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언어예절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내용과 세부 내용을 찾…
③ 일상생활에 관한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공공서비스 이용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쓰레기 분리배출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에너지 절약 실천방법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내용과 세부 내용을 찾는다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학교 행사 안내 방송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체육대회 일정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행사의 주요 목적과 세부적인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단체 티셔츠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 …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</si>
  <si>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-15</t>
    </r>
  </si>
  <si>
    <t xml:space="preserve">발표를 듣고 의견과 근거를 찾아요</t>
  </si>
  <si>
    <t xml:space="preserve">L-4-3-1, L-4-3-2, L-4-3-3, L-4-3-4</t>
  </si>
  <si>
    <r>
      <rPr>
        <sz val="9"/>
        <rFont val="맑은 고딕"/>
        <family val="0"/>
        <charset val="1"/>
      </rPr>
      <t xml:space="preserve">L-4-3-1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 내용과 맞는 그림을 모두 고른다</t>
    </r>
    <r>
      <rPr>
        <sz val="9"/>
        <rFont val="맑은 고딕"/>
        <family val="0"/>
        <charset val="1"/>
      </rPr>
      <t xml:space="preserve">.
L-4-3-2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들은 내용에 대한 사실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답한다</t>
    </r>
    <r>
      <rPr>
        <sz val="9"/>
        <rFont val="맑은 고딕"/>
        <family val="0"/>
        <charset val="1"/>
      </rPr>
      <t xml:space="preserve">.
L-4-3-3 </t>
    </r>
    <r>
      <rPr>
        <sz val="9"/>
        <rFont val="WenQuanYi Zen Hei"/>
        <family val="2"/>
      </rPr>
      <t xml:space="preserve">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점심시간에 휴대폰을 사용하는 것에 대한 발표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찬성 혹은 반대 의견을 정확히 구별한다</t>
    </r>
    <r>
      <rPr>
        <sz val="9"/>
        <rFont val="맑은 고딕"/>
        <family val="0"/>
        <charset val="1"/>
      </rPr>
      <t xml:space="preserve">.
L-4-3-4 </t>
    </r>
    <r>
      <rPr>
        <sz val="9"/>
        <rFont val="WenQuanYi Zen Hei"/>
        <family val="2"/>
      </rPr>
      <t xml:space="preserve">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점심시간에 휴대폰을 사용하는 것에 대한 발표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발표자가 제시한 근거를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</si>
  <si>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 내용과 맞는 그림을 모두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들은 내용에 대한 사실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짧게…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점심시간에 휴대폰을 사용하는 것에 대한 발표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찬성 혹은 반대 의견을 정확히 구별한다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</si>
  <si>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여러 개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 고르기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</si>
  <si>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-16</t>
    </r>
  </si>
  <si>
    <t xml:space="preserve">긴 대화에서 상황과 목적을 알아요</t>
  </si>
  <si>
    <r>
      <rPr>
        <sz val="9"/>
        <rFont val="WenQuanYi Zen Hei"/>
        <family val="2"/>
      </rPr>
      <t xml:space="preserve">다소 긴 대화를 듣고 상황과 목적을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</si>
  <si>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다소 긴 대화를 듣고 상황과 목적을 파악할 수 있다</t>
    </r>
    <r>
      <rPr>
        <sz val="9"/>
        <rFont val="맑은 고딕"/>
        <family val="0"/>
        <charset val="1"/>
      </rPr>
      <t xml:space="preserve">.</t>
    </r>
  </si>
  <si>
    <t xml:space="preserve">L-4-4-1, L-4-4-2, L-4-4-3</t>
  </si>
  <si>
    <r>
      <rPr>
        <sz val="9"/>
        <rFont val="맑은 고딕"/>
        <family val="0"/>
        <charset val="1"/>
      </rPr>
      <t xml:space="preserve">L-4-4-1 </t>
    </r>
    <r>
      <rPr>
        <sz val="9"/>
        <rFont val="WenQuanYi Zen Hei"/>
        <family val="2"/>
      </rPr>
      <t xml:space="preserve">두 사람 간의 갈등이 포함된 긴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청소 구역을 정하며 의견이 충돌하는 상황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대화가 벌어지는 맥락과 각자의 입장을 파악한다</t>
    </r>
    <r>
      <rPr>
        <sz val="9"/>
        <rFont val="맑은 고딕"/>
        <family val="0"/>
        <charset val="1"/>
      </rPr>
      <t xml:space="preserve">.
L-4-4-2 </t>
    </r>
    <r>
      <rPr>
        <sz val="9"/>
        <rFont val="WenQuanYi Zen Hei"/>
        <family val="2"/>
      </rPr>
      <t xml:space="preserve">다소 긴 대화나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약속을 정하는 대화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그 상황이나 목적을 답한다</t>
    </r>
    <r>
      <rPr>
        <sz val="9"/>
        <rFont val="맑은 고딕"/>
        <family val="0"/>
        <charset val="1"/>
      </rPr>
      <t xml:space="preserve">.
L-4-4-3 </t>
    </r>
    <r>
      <rPr>
        <sz val="9"/>
        <rFont val="WenQuanYi Zen Hei"/>
        <family val="2"/>
      </rPr>
      <t xml:space="preserve">대화를 듣고 화자가 상대방에게 부탁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거절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제안 중 어떤 목적을 가졌는지 파악한다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</si>
  <si>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청소 구역을 정하며 의견이 충돌하는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약속을 정하는 대화
② 두 사람 간의 갈등이 포함된 긴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청소 구역을 정하며 의견이 충돌하는 상황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대화가 벌어지는 맥락과 각자의 …
③ 다소 긴 대화나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약속을 정하는 대화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그 상황이나 목적을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대화를 듣고 화자가 상대방에게 부탁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거절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제안 중 어떤 목적을 가졌는지 파악한다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</si>
  <si>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-01</t>
    </r>
  </si>
  <si>
    <t xml:space="preserve">주변의 사물과 날씨를 말해요</t>
  </si>
  <si>
    <r>
      <rPr>
        <sz val="9"/>
        <rFont val="WenQuanYi Zen Hei"/>
        <family val="2"/>
      </rPr>
      <t xml:space="preserve">주변의 사물이나 대상에 대해 짧고 쉬운 단어로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</si>
  <si>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주변의 사물이나 대상에 대해 짧고 쉬운 단어로 말할 수 있다</t>
    </r>
    <r>
      <rPr>
        <sz val="9"/>
        <rFont val="맑은 고딕"/>
        <family val="0"/>
        <charset val="1"/>
      </rPr>
      <t xml:space="preserve">.</t>
    </r>
  </si>
  <si>
    <t xml:space="preserve">S-1-1-1, S-1-1-2, S-1-1-3, S-1-1-4</t>
  </si>
  <si>
    <r>
      <rPr>
        <sz val="9"/>
        <rFont val="맑은 고딕"/>
        <family val="0"/>
        <charset val="1"/>
      </rPr>
      <t xml:space="preserve">S-1-1-1 </t>
    </r>
    <r>
      <rPr>
        <sz val="9"/>
        <rFont val="WenQuanYi Zen Hei"/>
        <family val="2"/>
      </rPr>
      <t xml:space="preserve">교실 창밖의 풍경이나 날씨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구름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가리키며 해당되는 단어를 말한다</t>
    </r>
    <r>
      <rPr>
        <sz val="9"/>
        <rFont val="맑은 고딕"/>
        <family val="0"/>
        <charset val="1"/>
      </rPr>
      <t xml:space="preserve">.
S-1-1-2 </t>
    </r>
    <r>
      <rPr>
        <sz val="9"/>
        <rFont val="WenQuanYi Zen Hei"/>
        <family val="2"/>
      </rPr>
      <t xml:space="preserve">가리키는 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이름을 한 단어로 말한다</t>
    </r>
    <r>
      <rPr>
        <sz val="9"/>
        <rFont val="맑은 고딕"/>
        <family val="0"/>
        <charset val="1"/>
      </rPr>
      <t xml:space="preserve">.
S-1-1-3 </t>
    </r>
    <r>
      <rPr>
        <sz val="9"/>
        <rFont val="WenQuanYi Zen Hei"/>
        <family val="2"/>
      </rPr>
      <t xml:space="preserve">그림 카드를 보고 동물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코끼리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S-1-1-4 </t>
    </r>
    <r>
      <rPr>
        <sz val="9"/>
        <rFont val="WenQuanYi Zen Hei"/>
        <family val="2"/>
      </rPr>
      <t xml:space="preserve">제시된 색깔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빨강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</si>
  <si>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구름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
② 교실 창밖의 풍경이나 날씨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구름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가리키며 해당되는 단어를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가리키는 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이름을 한 단어로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그림 카드를 보고 동물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코끼리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</si>
  <si>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-02</t>
    </r>
  </si>
  <si>
    <t xml:space="preserve">상황에 맞게 인사해요</t>
  </si>
  <si>
    <t xml:space="preserve">S-1-2-1, S-1-2-2, S-1-2-3</t>
  </si>
  <si>
    <r>
      <rPr>
        <sz val="9"/>
        <rFont val="맑은 고딕"/>
        <family val="0"/>
        <charset val="1"/>
      </rPr>
      <t xml:space="preserve">S-1-2-1 </t>
    </r>
    <r>
      <rPr>
        <sz val="9"/>
        <rFont val="WenQuanYi Zen Hei"/>
        <family val="2"/>
      </rPr>
      <t xml:space="preserve">만나거나 헤어질 때 상황에 맞는 인사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 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말한다</t>
    </r>
    <r>
      <rPr>
        <sz val="9"/>
        <rFont val="맑은 고딕"/>
        <family val="0"/>
        <charset val="1"/>
      </rPr>
      <t xml:space="preserve">.
S-1-2-2 </t>
    </r>
    <r>
      <rPr>
        <sz val="9"/>
        <rFont val="WenQuanYi Zen Hei"/>
        <family val="2"/>
      </rPr>
      <t xml:space="preserve">도움을 받았을 때 상황에 맞는 감사인사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고맙습니다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고마워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한다</t>
    </r>
    <r>
      <rPr>
        <sz val="9"/>
        <rFont val="맑은 고딕"/>
        <family val="0"/>
        <charset val="1"/>
      </rPr>
      <t xml:space="preserve">.
S-1-2-3 </t>
    </r>
    <r>
      <rPr>
        <sz val="9"/>
        <rFont val="WenQuanYi Zen Hei"/>
        <family val="2"/>
      </rPr>
      <t xml:space="preserve">실수했을 때 상황에 맞는 사과인사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미안합니다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</si>
  <si>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 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고맙습니다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고마워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미안합니다
② 만나거나 헤어질 때 상황에 맞는 인사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 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도움을 받았을 때 상황에 맞는 감사인사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고맙습니다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고마워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실수했을 때 상황에 맞는 사과인사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미안합니다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</si>
  <si>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-03</t>
    </r>
  </si>
  <si>
    <r>
      <rPr>
        <sz val="9"/>
        <rFont val="맑은 고딕"/>
        <family val="0"/>
        <charset val="1"/>
      </rPr>
      <t xml:space="preserve">S-1-3-1 </t>
    </r>
    <r>
      <rPr>
        <sz val="9"/>
        <rFont val="WenQuanYi Zen Hei"/>
        <family val="2"/>
      </rPr>
      <t xml:space="preserve">개인의 선호를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무슨 색깔 좋아해요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자신이 좋아하는 대상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파란색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단어로 답한다</t>
    </r>
    <r>
      <rPr>
        <sz val="9"/>
        <rFont val="맑은 고딕"/>
        <family val="0"/>
        <charset val="1"/>
      </rPr>
      <t xml:space="preserve">.
S-1-3-2 </t>
    </r>
    <r>
      <rPr>
        <sz val="9"/>
        <rFont val="WenQuanYi Zen Hei"/>
        <family val="2"/>
      </rPr>
      <t xml:space="preserve">소유를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지우개 누구 거예요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대상의 주인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민수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S-1-3-3 </t>
    </r>
    <r>
      <rPr>
        <sz val="9"/>
        <rFont val="WenQuanYi Zen Hei"/>
        <family val="2"/>
      </rPr>
      <t xml:space="preserve">장소나 위치를 묻는 단순한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화장실 어디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방향이나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저기요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밖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나타내는 단어로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</si>
  <si>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무슨 색깔 좋아해요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파란색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 지우개 누구 거예요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민수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 어디 있어요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개인의 선호를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무슨 색깔 좋아해요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자신이 좋아하는 대상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파란색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단어로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소유를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지우개 누구 거예요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대상의 주인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민수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장소나 위치를 묻는 단순한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화장실 어디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방향이나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저기요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밖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나타내는 단…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</si>
  <si>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-04</t>
    </r>
  </si>
  <si>
    <t xml:space="preserve">아프거나 필요할 때 말해요</t>
  </si>
  <si>
    <r>
      <rPr>
        <sz val="9"/>
        <rFont val="맑은 고딕"/>
        <family val="0"/>
        <charset val="1"/>
      </rPr>
      <t xml:space="preserve">S-1-4-1 </t>
    </r>
    <r>
      <rPr>
        <sz val="9"/>
        <rFont val="WenQuanYi Zen Hei"/>
        <family val="2"/>
      </rPr>
      <t xml:space="preserve">신체적 불편함이나 통증이 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부위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머리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말하며 교사에게 도움을 청한다</t>
    </r>
    <r>
      <rPr>
        <sz val="9"/>
        <rFont val="맑은 고딕"/>
        <family val="0"/>
        <charset val="1"/>
      </rPr>
      <t xml:space="preserve">.
S-1-4-2 </t>
    </r>
    <r>
      <rPr>
        <sz val="9"/>
        <rFont val="WenQuanYi Zen Hei"/>
        <family val="2"/>
      </rPr>
      <t xml:space="preserve">활동 중 특정 도구가 필요할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물건의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말하여 요구한다</t>
    </r>
    <r>
      <rPr>
        <sz val="9"/>
        <rFont val="맑은 고딕"/>
        <family val="0"/>
        <charset val="1"/>
      </rPr>
      <t xml:space="preserve">.
S-1-4-3 </t>
    </r>
    <r>
      <rPr>
        <sz val="9"/>
        <rFont val="WenQuanYi Zen Hei"/>
        <family val="2"/>
      </rPr>
      <t xml:space="preserve">덥거나 추울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상태를 나타내는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덥다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춥다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말하여 환경 변화를 요청한다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</si>
  <si>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머리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덥다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춥다
② 신체적 불편함이나 통증이 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부위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머리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말하며 교사에게 도움을 청한다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활동 중 특정 도구가 필요할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물건의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말하여 요구한다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덥거나 추울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상태를 나타내는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덥다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춥다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말하여 환경 변화를 요청한다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</si>
  <si>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-05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</si>
  <si>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</si>
  <si>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-06</t>
    </r>
  </si>
  <si>
    <t xml:space="preserve">허락을 구하고 부탁해요</t>
  </si>
  <si>
    <t xml:space="preserve">S-2-1-1, S-2-1-2, S-2-1-3, S-2-1-4</t>
  </si>
  <si>
    <r>
      <rPr>
        <sz val="9"/>
        <rFont val="맑은 고딕"/>
        <family val="0"/>
        <charset val="1"/>
      </rPr>
      <t xml:space="preserve">S-2-1-1 </t>
    </r>
    <r>
      <rPr>
        <sz val="9"/>
        <rFont val="WenQuanYi Zen Hei"/>
        <family val="2"/>
      </rPr>
      <t xml:space="preserve">허락을 구하는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화장실에 다녀와도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S-2-1-2 </t>
    </r>
    <r>
      <rPr>
        <sz val="9"/>
        <rFont val="WenQuanYi Zen Hei"/>
        <family val="2"/>
      </rPr>
      <t xml:space="preserve">부탁하는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 좀 빌려줄래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S-2-1-3 </t>
    </r>
    <r>
      <rPr>
        <sz val="9"/>
        <rFont val="WenQuanYi Zen Hei"/>
        <family val="2"/>
      </rPr>
      <t xml:space="preserve">친구에게 제안하는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같이 밥 먹자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S-2-1-4 </t>
    </r>
    <r>
      <rPr>
        <sz val="9"/>
        <rFont val="WenQuanYi Zen Hei"/>
        <family val="2"/>
      </rPr>
      <t xml:space="preserve">교사에게 도움을 요청하는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모르겠어요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</si>
  <si>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화장실에 다녀와도 돼요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지우개 좀 빌려줄래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같이 밥 먹자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모르겠어요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도와주세요
② 허락을 구하는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화장실에 다녀와도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부탁하는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 좀 빌려줄래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친구에게 제안하는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같이 밥 먹자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</si>
  <si>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-07</t>
    </r>
  </si>
  <si>
    <t xml:space="preserve">가족과 좋아하는 과목을 말해요</t>
  </si>
  <si>
    <r>
      <rPr>
        <sz val="9"/>
        <rFont val="맑은 고딕"/>
        <family val="0"/>
        <charset val="1"/>
      </rPr>
      <t xml:space="preserve">S-2-2-1 </t>
    </r>
    <r>
      <rPr>
        <sz val="9"/>
        <rFont val="WenQuanYi Zen Hei"/>
        <family val="2"/>
      </rPr>
      <t xml:space="preserve">주말이나 방과 후의 일상을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 집에서 뭐 했어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자신의 행동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집에서 게임했어요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답한다</t>
    </r>
    <r>
      <rPr>
        <sz val="9"/>
        <rFont val="맑은 고딕"/>
        <family val="0"/>
        <charset val="1"/>
      </rPr>
      <t xml:space="preserve">.
S-2-2-2 </t>
    </r>
    <r>
      <rPr>
        <sz val="9"/>
        <rFont val="WenQuanYi Zen Hei"/>
        <family val="2"/>
      </rPr>
      <t xml:space="preserve">가족 관계나 배경을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형제자매가 어떻게 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가족 구성원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동생이 한 명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설명한다</t>
    </r>
    <r>
      <rPr>
        <sz val="9"/>
        <rFont val="맑은 고딕"/>
        <family val="0"/>
        <charset val="1"/>
      </rPr>
      <t xml:space="preserve">.
S-2-2-3 </t>
    </r>
    <r>
      <rPr>
        <sz val="9"/>
        <rFont val="WenQuanYi Zen Hei"/>
        <family val="2"/>
      </rPr>
      <t xml:space="preserve">좋아하는 과목을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과목이 제일 재미있어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이유를 포함하여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체육이 제일 재미있어요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</si>
  <si>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어제 집에서 뭐 했어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집에서 게임했어요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형제자매가 어떻게 돼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동생이 한 명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어떤 과목이 제일 재미있어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체육이 제일 재미있어요
② 주말이나 방과 후의 일상을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 집에서 뭐 했어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자신의 행동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집에서 게임했어요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가족 관계나 배경을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형제자매가 어떻게 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가족 구성원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동생이 한 명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설명한다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좋아하는 과목을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과목이 제일 재미있어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이유를 포함하여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체육이 제일 재미있어요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등…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</si>
  <si>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-08</t>
    </r>
  </si>
  <si>
    <t xml:space="preserve">숙제와 학교 시설을 물어봐요</t>
  </si>
  <si>
    <t xml:space="preserve">S-2-3-1, S-2-3-2, S-2-3-3</t>
  </si>
  <si>
    <r>
      <rPr>
        <sz val="9"/>
        <rFont val="맑은 고딕"/>
        <family val="0"/>
        <charset val="1"/>
      </rPr>
      <t xml:space="preserve">S-2-3-1 </t>
    </r>
    <r>
      <rPr>
        <sz val="9"/>
        <rFont val="WenQuanYi Zen Hei"/>
        <family val="2"/>
      </rPr>
      <t xml:space="preserve">과제나 학습 내용의 기한을 확인하기 위해 교사에게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숙제 언제까지 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S-2-3-2 </t>
    </r>
    <r>
      <rPr>
        <sz val="9"/>
        <rFont val="WenQuanYi Zen Hei"/>
        <family val="2"/>
      </rPr>
      <t xml:space="preserve">친구에게 학교 시설물의 위치나 이용 시간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 문 언제 열어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묻고 답한다</t>
    </r>
    <r>
      <rPr>
        <sz val="9"/>
        <rFont val="맑은 고딕"/>
        <family val="0"/>
        <charset val="1"/>
      </rPr>
      <t xml:space="preserve">.
S-2-3-3 </t>
    </r>
    <r>
      <rPr>
        <sz val="9"/>
        <rFont val="WenQuanYi Zen Hei"/>
        <family val="2"/>
      </rPr>
      <t xml:space="preserve">다음 시간의 교과목이나 이동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다음 시간 어디로 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주변 친구들에게 물어본다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</si>
  <si>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 숙제 언제까지 내요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도서관 문 언제 열어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다음 시간 어디로 가요</t>
    </r>
    <r>
      <rPr>
        <sz val="9"/>
        <rFont val="맑은 고딕"/>
        <family val="0"/>
        <charset val="1"/>
      </rPr>
      <t xml:space="preserve">?
② </t>
    </r>
    <r>
      <rPr>
        <sz val="9"/>
        <rFont val="WenQuanYi Zen Hei"/>
        <family val="2"/>
      </rPr>
      <t xml:space="preserve">과제나 학습 내용의 기한을 확인하기 위해 교사에게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숙제 언제까지 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친구에게 학교 시설물의 위치나 이용 시간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 문 언제 열어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묻고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다음 시간의 교과목이나 이동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다음 시간 어디로 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주변 친구들에게 물어본다</t>
    </r>
    <r>
      <rPr>
        <sz val="9"/>
        <rFont val="맑은 고딕"/>
        <family val="0"/>
        <charset val="1"/>
      </rPr>
      <t xml:space="preserve">.</t>
    </r>
  </si>
  <si>
    <t xml:space="preserve">학교생활</t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</si>
  <si>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-03,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-08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</si>
  <si>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-09</t>
    </r>
  </si>
  <si>
    <t xml:space="preserve">내 느낌과 상태를 말해요</t>
  </si>
  <si>
    <t xml:space="preserve">S-2-4-1, S-2-4-2, S-2-4-3, S-2-4-4, S-2-4-5</t>
  </si>
  <si>
    <r>
      <rPr>
        <sz val="9"/>
        <rFont val="맑은 고딕"/>
        <family val="0"/>
        <charset val="1"/>
      </rPr>
      <t xml:space="preserve">S-2-4-1 </t>
    </r>
    <r>
      <rPr>
        <sz val="9"/>
        <rFont val="WenQuanYi Zen Hei"/>
        <family val="2"/>
      </rPr>
      <t xml:space="preserve">자신의 선호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축구를 좋아합니다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말한다</t>
    </r>
    <r>
      <rPr>
        <sz val="9"/>
        <rFont val="맑은 고딕"/>
        <family val="0"/>
        <charset val="1"/>
      </rPr>
      <t xml:space="preserve">.
S-2-4-2 </t>
    </r>
    <r>
      <rPr>
        <sz val="9"/>
        <rFont val="WenQuanYi Zen Hei"/>
        <family val="2"/>
      </rPr>
      <t xml:space="preserve">자신의 감각이나 느낌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음식은 매워요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표현한다</t>
    </r>
    <r>
      <rPr>
        <sz val="9"/>
        <rFont val="맑은 고딕"/>
        <family val="0"/>
        <charset val="1"/>
      </rPr>
      <t xml:space="preserve">.
S-2-4-3 </t>
    </r>
    <r>
      <rPr>
        <sz val="9"/>
        <rFont val="WenQuanYi Zen Hei"/>
        <family val="2"/>
      </rPr>
      <t xml:space="preserve">자신의 신체적 상태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머리가 아파요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힘들어요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문장으로 말한다</t>
    </r>
    <r>
      <rPr>
        <sz val="9"/>
        <rFont val="맑은 고딕"/>
        <family val="0"/>
        <charset val="1"/>
      </rPr>
      <t xml:space="preserve">.
S-2-4-4 </t>
    </r>
    <r>
      <rPr>
        <sz val="9"/>
        <rFont val="WenQuanYi Zen Hei"/>
        <family val="2"/>
      </rPr>
      <t xml:space="preserve">자신의 희망이나 욕구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저거 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기다려 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문장으로 표현한다</t>
    </r>
    <r>
      <rPr>
        <sz val="9"/>
        <rFont val="맑은 고딕"/>
        <family val="0"/>
        <charset val="1"/>
      </rPr>
      <t xml:space="preserve">.
S-2-4-5 </t>
    </r>
    <r>
      <rPr>
        <sz val="9"/>
        <rFont val="WenQuanYi Zen Hei"/>
        <family val="2"/>
      </rPr>
      <t xml:space="preserve">자신의 생각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가방이 멋져요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</si>
  <si>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나는 축구를 좋아합니다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 음식은 매워요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나는 머리가 아파요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힘들어요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저거 하고 싶어요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기다려 주세요
② 자신의 선호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축구를 좋아합니다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자신의 감각이나 느낌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음식은 매워요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표현한다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자신의 신체적 상태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머리가 아파요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힘들어요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</si>
  <si>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-16,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</si>
  <si>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-10</t>
    </r>
  </si>
  <si>
    <t xml:space="preserve">일정한 속도로 분명하게 말해요</t>
  </si>
  <si>
    <t xml:space="preserve">S-2-5-1, S-2-5-2, S-2-5-3</t>
  </si>
  <si>
    <r>
      <rPr>
        <sz val="9"/>
        <rFont val="맑은 고딕"/>
        <family val="0"/>
        <charset val="1"/>
      </rPr>
      <t xml:space="preserve">S-2-5-1 </t>
    </r>
    <r>
      <rPr>
        <sz val="9"/>
        <rFont val="WenQuanYi Zen Hei"/>
        <family val="2"/>
      </rPr>
      <t xml:space="preserve">발음이 다소 부정확해도 문장의 전체 의미를 전달한다</t>
    </r>
    <r>
      <rPr>
        <sz val="9"/>
        <rFont val="맑은 고딕"/>
        <family val="0"/>
        <charset val="1"/>
      </rPr>
      <t xml:space="preserve">.
S-2-5-2 </t>
    </r>
    <r>
      <rPr>
        <sz val="9"/>
        <rFont val="WenQuanYi Zen Hei"/>
        <family val="2"/>
      </rPr>
      <t xml:space="preserve">핵심 어휘의 발음을 이해할 수 있도록 말한다</t>
    </r>
    <r>
      <rPr>
        <sz val="9"/>
        <rFont val="맑은 고딕"/>
        <family val="0"/>
        <charset val="1"/>
      </rPr>
      <t xml:space="preserve">.
S-2-5-3 </t>
    </r>
    <r>
      <rPr>
        <sz val="9"/>
        <rFont val="WenQuanYi Zen Hei"/>
        <family val="2"/>
      </rPr>
      <t xml:space="preserve">너무 빠르지 않은 일정한 속도로 문장을 발화할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</si>
  <si>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발음이 다소 부정확해도 문장의 전체 의미를 전달한다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핵심 어휘의 발음을 이해할 수 있도록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너무 빠르지 않은 일정한 속도로 문장을 발화할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</si>
  <si>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</si>
  <si>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</t>
    </r>
  </si>
  <si>
    <t xml:space="preserve">내 취미와 동네를 소개해요</t>
  </si>
  <si>
    <r>
      <rPr>
        <sz val="9"/>
        <rFont val="맑은 고딕"/>
        <family val="0"/>
        <charset val="1"/>
      </rPr>
      <t xml:space="preserve">S-3-1-1 </t>
    </r>
    <r>
      <rPr>
        <sz val="9"/>
        <rFont val="WenQuanYi Zen Hei"/>
        <family val="2"/>
      </rPr>
      <t xml:space="preserve">자신의 취미나 관심사</t>
    </r>
    <r>
      <rPr>
        <sz val="9"/>
        <rFont val="맑은 고딕"/>
        <family val="0"/>
        <charset val="1"/>
      </rPr>
      <t xml:space="preserve">(K-pop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그 활동을 왜 좋아하는지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문장으로 설명한다</t>
    </r>
    <r>
      <rPr>
        <sz val="9"/>
        <rFont val="맑은 고딕"/>
        <family val="0"/>
        <charset val="1"/>
      </rPr>
      <t xml:space="preserve">.
S-3-1-2 </t>
    </r>
    <r>
      <rPr>
        <sz val="9"/>
        <rFont val="WenQuanYi Zen Hei"/>
        <family val="2"/>
      </rPr>
      <t xml:space="preserve">자신이 자주 가는 동네의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떡볶이집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문구점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농구장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소개하며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그곳의 특징을 이야기한다</t>
    </r>
    <r>
      <rPr>
        <sz val="9"/>
        <rFont val="맑은 고딕"/>
        <family val="0"/>
        <charset val="1"/>
      </rPr>
      <t xml:space="preserve">.
S-3-1-3 </t>
    </r>
    <r>
      <rPr>
        <sz val="9"/>
        <rFont val="WenQuanYi Zen Hei"/>
        <family val="2"/>
      </rPr>
      <t xml:space="preserve">친한 친구를 다른 사람에게 소개할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친구의 특징이나 장점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친구는 착하고 달리기를 잘해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포함하여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</si>
  <si>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떡볶이집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문구점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농구장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공원
② 자신의 취미나 관심사</t>
    </r>
    <r>
      <rPr>
        <sz val="9"/>
        <rFont val="맑은 고딕"/>
        <family val="0"/>
        <charset val="1"/>
      </rPr>
      <t xml:space="preserve">(K-pop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그 활동을 왜 좋아하는지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문장으로 설명한다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자신이 자주 가는 동네의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떡볶이집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문구점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농구장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소개하며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그곳의 특징을 이야기한다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친한 친구를 다른 사람에게 소개할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친구의 특징이나 장점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친구는 착하고 달리기를 잘해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…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</si>
  <si>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</si>
  <si>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</t>
    </r>
  </si>
  <si>
    <t xml:space="preserve">기억에 남는 일을 말해요</t>
  </si>
  <si>
    <r>
      <rPr>
        <sz val="9"/>
        <rFont val="맑은 고딕"/>
        <family val="0"/>
        <charset val="1"/>
      </rPr>
      <t xml:space="preserve">S-3-2-1 </t>
    </r>
    <r>
      <rPr>
        <sz val="9"/>
        <rFont val="WenQuanYi Zen Hei"/>
        <family val="2"/>
      </rPr>
      <t xml:space="preserve">현장체험학습이나 여행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동물원 견학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가장 인상 깊었던 장면을 설명한다</t>
    </r>
    <r>
      <rPr>
        <sz val="9"/>
        <rFont val="맑은 고딕"/>
        <family val="0"/>
        <charset val="1"/>
      </rPr>
      <t xml:space="preserve">.
S-3-2-2 </t>
    </r>
    <r>
      <rPr>
        <sz val="9"/>
        <rFont val="WenQuanYi Zen Hei"/>
        <family val="2"/>
      </rPr>
      <t xml:space="preserve">실수나 실패했던 경험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물건을 잃어버린 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이야기하며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실수나 실패하지 않기 위한 다짐을 말한다</t>
    </r>
    <r>
      <rPr>
        <sz val="9"/>
        <rFont val="맑은 고딕"/>
        <family val="0"/>
        <charset val="1"/>
      </rPr>
      <t xml:space="preserve">.
S-3-2-3 </t>
    </r>
    <r>
      <rPr>
        <sz val="9"/>
        <rFont val="WenQuanYi Zen Hei"/>
        <family val="2"/>
      </rPr>
      <t xml:space="preserve">체육대회나 학예회 등 학교 행사에서 자신이 맡았던 역할과 그때 느낀 감정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떨림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뿌듯함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</si>
  <si>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동물원 견학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물건을 잃어버린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떨림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뿌듯함
② 현장체험학습이나 여행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동물원 견학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가장 인상 깊었던 장면을 설명한다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실수나 실패했던 경험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물건을 잃어버린 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이야기하며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실수나 실패하지 않기 위한 다짐을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체육대회나 학예회 등 학교 행사에서 자신이 맡았던 역할과 그때 느낀 감정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떨림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뿌듯함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</si>
  <si>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</si>
  <si>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-13</t>
    </r>
  </si>
  <si>
    <t xml:space="preserve">수업과 모둠 활동에서 묻고 답해요</t>
  </si>
  <si>
    <t xml:space="preserve">S-3-3-1, S-3-3-2, S-3-3-3</t>
  </si>
  <si>
    <r>
      <rPr>
        <sz val="9"/>
        <rFont val="맑은 고딕"/>
        <family val="0"/>
        <charset val="1"/>
      </rPr>
      <t xml:space="preserve">S-3-3-1 </t>
    </r>
    <r>
      <rPr>
        <sz val="9"/>
        <rFont val="WenQuanYi Zen Hei"/>
        <family val="2"/>
      </rPr>
      <t xml:space="preserve">교사의 열린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우리가 환경을 보호하지 않으면 어떻게 될까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자신의 생각을 답한다</t>
    </r>
    <r>
      <rPr>
        <sz val="9"/>
        <rFont val="맑은 고딕"/>
        <family val="0"/>
        <charset val="1"/>
      </rPr>
      <t xml:space="preserve">.
S-3-3-2 </t>
    </r>
    <r>
      <rPr>
        <sz val="9"/>
        <rFont val="WenQuanYi Zen Hei"/>
        <family val="2"/>
      </rPr>
      <t xml:space="preserve">수업 중 설명이 부족하거나 이해가 가지 않는 부분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수학 문제의 풀이 과정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어려운 낱말이 포함된 안내문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질문한다</t>
    </r>
    <r>
      <rPr>
        <sz val="9"/>
        <rFont val="맑은 고딕"/>
        <family val="0"/>
        <charset val="1"/>
      </rPr>
      <t xml:space="preserve">.
S-3-3-3 </t>
    </r>
    <r>
      <rPr>
        <sz val="9"/>
        <rFont val="WenQuanYi Zen Hei"/>
        <family val="2"/>
      </rPr>
      <t xml:space="preserve">짝</t>
    </r>
    <r>
      <rPr>
        <sz val="9"/>
        <rFont val="맑은 고딕"/>
        <family val="0"/>
        <charset val="1"/>
      </rPr>
      <t xml:space="preserve">,</t>
    </r>
    <r>
      <rPr>
        <sz val="9"/>
        <rFont val="WenQuanYi Zen Hei"/>
        <family val="2"/>
      </rPr>
      <t xml:space="preserve">모둠 활동 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학습 문제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모둠별 조사하기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실험 활동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해결하기 위해 서로 알고 있는 내용을 묻거나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</si>
  <si>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수학 문제의 풀이 과정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어려운 낱말이 포함된 안내문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모둠별 조사하기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실험 활동
② 교사의 열린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우리가 환경을 보호하지 않으면 어떻게 될까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자신의 생각을 답한다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수업 중 설명이 부족하거나 이해가 가지 않는 부분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수학 문제의 풀이 과정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어려운 낱말이 포함된 안내문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질문한다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짝</t>
    </r>
    <r>
      <rPr>
        <sz val="9"/>
        <rFont val="맑은 고딕"/>
        <family val="0"/>
        <charset val="1"/>
      </rPr>
      <t xml:space="preserve">,</t>
    </r>
    <r>
      <rPr>
        <sz val="9"/>
        <rFont val="WenQuanYi Zen Hei"/>
        <family val="2"/>
      </rPr>
      <t xml:space="preserve">모둠 활동 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학습 문제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모둠별 조사하기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실험 활동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해결하기 위해 서로 알고 있는 내용…</t>
    </r>
  </si>
  <si>
    <r>
      <rPr>
        <sz val="9"/>
        <rFont val="WenQuanYi Zen Hei"/>
        <family val="2"/>
      </rPr>
      <t xml:space="preserve">상황 보고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질문 만들어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</si>
  <si>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-14</t>
    </r>
  </si>
  <si>
    <t xml:space="preserve">공지와 소식을 전해요</t>
  </si>
  <si>
    <t xml:space="preserve">S-3-4-1, S-3-4-2, S-3-4-3</t>
  </si>
  <si>
    <r>
      <rPr>
        <sz val="9"/>
        <rFont val="맑은 고딕"/>
        <family val="0"/>
        <charset val="1"/>
      </rPr>
      <t xml:space="preserve">S-3-4-1 </t>
    </r>
    <r>
      <rPr>
        <sz val="9"/>
        <rFont val="WenQuanYi Zen Hei"/>
        <family val="2"/>
      </rPr>
      <t xml:space="preserve">한 공지사항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결석한 친구에게 정확히 전해준다</t>
    </r>
    <r>
      <rPr>
        <sz val="9"/>
        <rFont val="맑은 고딕"/>
        <family val="0"/>
        <charset val="1"/>
      </rPr>
      <t xml:space="preserve">.
S-3-4-2 </t>
    </r>
    <r>
      <rPr>
        <sz val="9"/>
        <rFont val="WenQuanYi Zen Hei"/>
        <family val="2"/>
      </rPr>
      <t xml:space="preserve">다른 반 친구에게 들은 소식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옆 반에 다른 친구가 전학을 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같은 반 친구에게 왜곡 없이</t>
    </r>
    <r>
      <rPr>
        <sz val="9"/>
        <rFont val="맑은 고딕"/>
        <family val="0"/>
        <charset val="1"/>
      </rPr>
      <t xml:space="preserve">(~</t>
    </r>
    <r>
      <rPr>
        <sz val="9"/>
        <rFont val="WenQuanYi Zen Hei"/>
        <family val="2"/>
      </rPr>
      <t xml:space="preserve">왔다고 했어</t>
    </r>
    <r>
      <rPr>
        <sz val="9"/>
        <rFont val="맑은 고딕"/>
        <family val="0"/>
        <charset val="1"/>
      </rPr>
      <t xml:space="preserve">.) </t>
    </r>
    <r>
      <rPr>
        <sz val="9"/>
        <rFont val="WenQuanYi Zen Hei"/>
        <family val="2"/>
      </rPr>
      <t xml:space="preserve">말한다</t>
    </r>
    <r>
      <rPr>
        <sz val="9"/>
        <rFont val="맑은 고딕"/>
        <family val="0"/>
        <charset val="1"/>
      </rPr>
      <t xml:space="preserve">.
S-3-4-3 </t>
    </r>
    <r>
      <rPr>
        <sz val="9"/>
        <rFont val="WenQuanYi Zen Hei"/>
        <family val="2"/>
      </rPr>
      <t xml:space="preserve">학교 방송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방송 조회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 안내 방송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들은 핵심 내용 하나를 반 친구들에게 다시 말해준다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</si>
  <si>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옆 반에 다른 친구가 전학을 왔다</t>
    </r>
    <r>
      <rPr>
        <sz val="9"/>
        <rFont val="맑은 고딕"/>
        <family val="0"/>
        <charset val="1"/>
      </rPr>
      <t xml:space="preserve">, ~</t>
    </r>
    <r>
      <rPr>
        <sz val="9"/>
        <rFont val="WenQuanYi Zen Hei"/>
        <family val="2"/>
      </rPr>
      <t xml:space="preserve">왔다고 했어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방송 조회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 안내 방송
② 한 공지사항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결석한 친구에게 정확히 전해준다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다른 반 친구에게 들은 소식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옆 반에 다른 친구가 전학을 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같은 반 친구에게 왜곡 없이</t>
    </r>
    <r>
      <rPr>
        <sz val="9"/>
        <rFont val="맑은 고딕"/>
        <family val="0"/>
        <charset val="1"/>
      </rPr>
      <t xml:space="preserve">(~</t>
    </r>
    <r>
      <rPr>
        <sz val="9"/>
        <rFont val="WenQuanYi Zen Hei"/>
        <family val="2"/>
      </rPr>
      <t xml:space="preserve">왔다고 했어</t>
    </r>
    <r>
      <rPr>
        <sz val="9"/>
        <rFont val="맑은 고딕"/>
        <family val="0"/>
        <charset val="1"/>
      </rPr>
      <t xml:space="preserve">.) </t>
    </r>
    <r>
      <rPr>
        <sz val="9"/>
        <rFont val="WenQuanYi Zen Hei"/>
        <family val="2"/>
      </rPr>
      <t xml:space="preserve">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학교 방송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방송 조회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 안내 방송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들은 핵심 내용 하나를 반 친구들에게 다시 말해준다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</si>
  <si>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-15</t>
    </r>
  </si>
  <si>
    <t xml:space="preserve">겹받침과 연음을 바르게 발음해요</t>
  </si>
  <si>
    <r>
      <rPr>
        <sz val="9"/>
        <rFont val="맑은 고딕"/>
        <family val="0"/>
        <charset val="1"/>
      </rPr>
      <t xml:space="preserve">S-3-5-1 </t>
    </r>
    <r>
      <rPr>
        <sz val="9"/>
        <rFont val="WenQuanYi Zen Hei"/>
        <family val="2"/>
      </rPr>
      <t xml:space="preserve">겹받침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맑다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읽다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밝다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넓다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이나 연음 법칙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책꽂이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적용되는 단어를 비교적 정확하게 발음한다</t>
    </r>
    <r>
      <rPr>
        <sz val="9"/>
        <rFont val="맑은 고딕"/>
        <family val="0"/>
        <charset val="1"/>
      </rPr>
      <t xml:space="preserve">.
S-3-5-2 </t>
    </r>
    <r>
      <rPr>
        <sz val="9"/>
        <rFont val="WenQuanYi Zen Hei"/>
        <family val="2"/>
      </rPr>
      <t xml:space="preserve">목소리 크기를 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둘이 말할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여러 사람 앞에서 말할 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조절하여 또렷하게 발음한다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</si>
  <si>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맑다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읽다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밝다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넓다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놀이터
② 겹받침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맑다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읽다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밝다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넓다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이나 연음 법칙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책꽂이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적용되는 단어를 비교적 정확하게 …
③ 목소리 크기를 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둘이 말할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여러 사람 앞에서 말할 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조절하여 또렷하게 발음한다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S-3-5-1·S-3-5-2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</si>
  <si>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-04,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</si>
  <si>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-16</t>
    </r>
  </si>
  <si>
    <t xml:space="preserve">작품과 뉴스에 대한 생각을 말해요</t>
  </si>
  <si>
    <r>
      <rPr>
        <sz val="9"/>
        <rFont val="WenQuanYi Zen Hei"/>
        <family val="2"/>
      </rPr>
      <t xml:space="preserve">수업 내용과 관련된 다양한 주제에 관해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</si>
  <si>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내용과 관련된 다양한 주제에 관해 말할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</si>
  <si>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S-4-1-1 </t>
    </r>
    <r>
      <rPr>
        <sz val="9"/>
        <rFont val="WenQuanYi Zen Hei"/>
        <family val="2"/>
      </rPr>
      <t xml:space="preserve">문학 작품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소설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감상한 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작품 속 인물의 행동에 대한 자신의 가치 판단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주인공의 행동은 옳지 않다고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왜냐하면</t>
    </r>
    <r>
      <rPr>
        <sz val="9"/>
        <rFont val="맑은 고딕"/>
        <family val="0"/>
        <charset val="1"/>
      </rPr>
      <t xml:space="preserve">...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
S-4-1-2 </t>
    </r>
    <r>
      <rPr>
        <sz val="9"/>
        <rFont val="WenQuanYi Zen Hei"/>
        <family val="2"/>
      </rPr>
      <t xml:space="preserve">시사 문제나 뉴스 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기후 위기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속 문제의 원인과 해결책에 대한 자신의 생각을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</si>
  <si>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소설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주인공의 행동은 옳지 않다고 생각합니다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왜냐하면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
② 문학 작품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소설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감상한 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작품 속 인물의 행동에 대한 자신의 가치 판단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주인공의 행동은 옳지 않다고 생각합니…
③ 시사 문제나 뉴스 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기후 위기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속 문제의 원인과 해결책에 대한 자신의 생각을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S-4-1-1·S-4-1-2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</si>
  <si>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</si>
  <si>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-17</t>
    </r>
  </si>
  <si>
    <t xml:space="preserve">글과 영상을 요약해서 말해요</t>
  </si>
  <si>
    <r>
      <rPr>
        <sz val="9"/>
        <rFont val="WenQuanYi Zen Hei"/>
        <family val="2"/>
      </rPr>
      <t xml:space="preserve">정보를 요약하여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</si>
  <si>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요약하여 말할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</si>
  <si>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S-4-2-1 </t>
    </r>
    <r>
      <rPr>
        <sz val="9"/>
        <rFont val="WenQuanYi Zen Hei"/>
        <family val="2"/>
      </rPr>
      <t xml:space="preserve">한 페이지 분량의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안내장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신청서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가장 중요한 핵심 내용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가지를 말한다</t>
    </r>
    <r>
      <rPr>
        <sz val="9"/>
        <rFont val="맑은 고딕"/>
        <family val="0"/>
        <charset val="1"/>
      </rPr>
      <t xml:space="preserve">.
S-4-2-2 </t>
    </r>
    <r>
      <rPr>
        <sz val="9"/>
        <rFont val="WenQuanYi Zen Hei"/>
        <family val="2"/>
      </rPr>
      <t xml:space="preserve">교육용 영상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화재 대피 요령 영상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본 후 전체적인 줄거리를 친구에게 설명한다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</si>
  <si>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안내장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신청서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화재 대피 요령 영상
② 한 페이지 분량의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안내장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신청서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가장 중요한 핵심 내용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가지를 말한다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교육용 영상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화재 대피 요령 영상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본 후 전체적인 줄거리를 친구에게 설명한다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S-4-2-1·S-4-2-2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</si>
  <si>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t xml:space="preserve">요약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</si>
  <si>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-18</t>
    </r>
  </si>
  <si>
    <t xml:space="preserve">수업 내용을 발표해요</t>
  </si>
  <si>
    <r>
      <rPr>
        <sz val="9"/>
        <rFont val="WenQuanYi Zen Hei"/>
        <family val="2"/>
      </rPr>
      <t xml:space="preserve">수업에 참여하여 수업 내용에 관해 발표할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</si>
  <si>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 참여하여 수업 내용에 관해 발표할 수 있다</t>
    </r>
    <r>
      <rPr>
        <sz val="9"/>
        <rFont val="맑은 고딕"/>
        <family val="0"/>
        <charset val="1"/>
      </rPr>
      <t xml:space="preserve">.</t>
    </r>
  </si>
  <si>
    <t xml:space="preserve">S-4-3-1</t>
  </si>
  <si>
    <r>
      <rPr>
        <sz val="9"/>
        <rFont val="맑은 고딕"/>
        <family val="0"/>
        <charset val="1"/>
      </rPr>
      <t xml:space="preserve">S-4-3-1 </t>
    </r>
    <r>
      <rPr>
        <sz val="9"/>
        <rFont val="WenQuanYi Zen Hei"/>
        <family val="2"/>
      </rPr>
      <t xml:space="preserve">수업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실험 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생태 전환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사회 현상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세계 문화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관련된 주제에 대해 자신의 말로 표현한다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</si>
  <si>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실험 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생태 전환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사회 현상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세계 문화
② 수업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실험 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생태 전환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사회 현상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세계 문화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관련된 주제에 대해 자신의 말로 표현한다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S-4-3-1)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</si>
  <si>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-19</t>
    </r>
  </si>
  <si>
    <t xml:space="preserve">고민을 상담하고 갈등을 풀어요</t>
  </si>
  <si>
    <r>
      <rPr>
        <sz val="9"/>
        <rFont val="WenQuanYi Zen Hei"/>
        <family val="2"/>
      </rPr>
      <t xml:space="preserve">상황과 목적에 맞게 다소 긴 대화를 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</si>
  <si>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상황과 목적에 맞게 다소 긴 대화를 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</si>
  <si>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S-4-4-1 </t>
    </r>
    <r>
      <rPr>
        <sz val="9"/>
        <rFont val="WenQuanYi Zen Hei"/>
        <family val="2"/>
      </rPr>
      <t xml:space="preserve">교사에게 진로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중학교 진학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학업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성적 고민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한국어 공부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조언을 구하며 질문과 대답을 주고받는 긴 대화를 이어나갈 수 있다
</t>
    </r>
    <r>
      <rPr>
        <sz val="9"/>
        <rFont val="맑은 고딕"/>
        <family val="0"/>
        <charset val="1"/>
      </rPr>
      <t xml:space="preserve">S-4-4-2 </t>
    </r>
    <r>
      <rPr>
        <sz val="9"/>
        <rFont val="WenQuanYi Zen Hei"/>
        <family val="2"/>
      </rPr>
      <t xml:space="preserve">물건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핸드폰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잃어버렸을 때 분실물 센터나 교무실에 가서 잃어버린 상황을 설명하며 대화한다</t>
    </r>
    <r>
      <rPr>
        <sz val="9"/>
        <rFont val="맑은 고딕"/>
        <family val="0"/>
        <charset val="1"/>
      </rPr>
      <t xml:space="preserve">.
S-4-4-3 </t>
    </r>
    <r>
      <rPr>
        <sz val="9"/>
        <rFont val="WenQuanYi Zen Hei"/>
        <family val="2"/>
      </rPr>
      <t xml:space="preserve">갈등 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친구가 나를 밀었을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물을 엎질렀을 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해결하기 위해 자신의 감정과 이유를 설명하며 대화한다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</si>
  <si>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중학교 진학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성적 고민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한국어 공부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핸드폰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친구가 나를 밀었을 때
② 교사에게 진로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중학교 진학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학업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성적 고민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한국어 공부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조언을 구하며 질문과 대답을 주고받는 긴 대화를…
③ 물건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핸드폰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잃어버렸을 때 분실물 센터나 교무실에 가서 잃어버린 상황을 설명하며 대화한다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갈등 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친구가 나를 밀었을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물을 엎질렀을 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해결하기 위해 자신의 감정과 이유를 설명하며 …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</si>
  <si>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-20</t>
    </r>
  </si>
  <si>
    <t xml:space="preserve">자리와 상대에 맞게 말해요</t>
  </si>
  <si>
    <r>
      <rPr>
        <sz val="9"/>
        <rFont val="WenQuanYi Zen Hei"/>
        <family val="2"/>
      </rPr>
      <t xml:space="preserve">대화 상대와 맥락을 고려하여 자연스럽게 말할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</si>
  <si>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 상대와 맥락을 고려하여 자연스럽게 말할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</si>
  <si>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S-4-5-1 </t>
    </r>
    <r>
      <rPr>
        <sz val="9"/>
        <rFont val="WenQuanYi Zen Hei"/>
        <family val="2"/>
      </rPr>
      <t xml:space="preserve">교사나 웃어른에게 말할 때와 친구에게 말할 때의 높임법을 정확히 구분하여 사용한다</t>
    </r>
    <r>
      <rPr>
        <sz val="9"/>
        <rFont val="맑은 고딕"/>
        <family val="0"/>
        <charset val="1"/>
      </rPr>
      <t xml:space="preserve">.
S-4-5-2 </t>
    </r>
    <r>
      <rPr>
        <sz val="9"/>
        <rFont val="WenQuanYi Zen Hei"/>
        <family val="2"/>
      </rPr>
      <t xml:space="preserve">공식적인 자리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학급 회의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비공식적인 자리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친구와의 대화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상황에 따른 언어예절을 지켜 말한다</t>
    </r>
    <r>
      <rPr>
        <sz val="9"/>
        <rFont val="맑은 고딕"/>
        <family val="0"/>
        <charset val="1"/>
      </rPr>
      <t xml:space="preserve">.
S-4-5-3 </t>
    </r>
    <r>
      <rPr>
        <sz val="9"/>
        <rFont val="WenQuanYi Zen Hei"/>
        <family val="2"/>
      </rPr>
      <t xml:space="preserve">대화의 흐름이 끊기지 않도록 맞장구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호응어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적절히 사용하며 자연스럽게 대화에 참여한다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</si>
  <si>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학급 회의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친구와의 대화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호응어
② 교사나 웃어른에게 말할 때와 친구에게 말할 때의 높임법을 정확히 구분하여 사용한다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공식적인 자리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학급 회의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비공식적인 자리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친구와의 대화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상황에 따른 언어예절을 지켜 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대화의 흐름이 끊기지 않도록 맞장구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호응어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적절히 사용하며 자연스럽게 대화에 참여한다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</si>
  <si>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상황 보고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발표 틀 채워 말하기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역할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녹음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</si>
  <si>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</si>
  <si>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-01</t>
    </r>
  </si>
  <si>
    <t xml:space="preserve">생활 속 낱말과 달력을 읽어요</t>
  </si>
  <si>
    <r>
      <rPr>
        <sz val="9"/>
        <rFont val="맑은 고딕"/>
        <family val="0"/>
        <charset val="1"/>
      </rPr>
      <t xml:space="preserve">R-1-1-1 </t>
    </r>
    <r>
      <rPr>
        <sz val="9"/>
        <rFont val="WenQuanYi Zen Hei"/>
        <family val="2"/>
      </rPr>
      <t xml:space="preserve">생활 속에서 자주 보는 친숙한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읽는다</t>
    </r>
    <r>
      <rPr>
        <sz val="9"/>
        <rFont val="맑은 고딕"/>
        <family val="0"/>
        <charset val="1"/>
      </rPr>
      <t xml:space="preserve">.
R-1-1-2 </t>
    </r>
    <r>
      <rPr>
        <sz val="9"/>
        <rFont val="WenQuanYi Zen Hei"/>
        <family val="2"/>
      </rPr>
      <t xml:space="preserve">요일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숫자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적힌 달력을 소리 내어 읽는다</t>
    </r>
    <r>
      <rPr>
        <sz val="9"/>
        <rFont val="맑은 고딕"/>
        <family val="0"/>
        <charset val="1"/>
      </rPr>
      <t xml:space="preserve">.
R-1-1-3 </t>
    </r>
    <r>
      <rPr>
        <sz val="9"/>
        <rFont val="WenQuanYi Zen Hei"/>
        <family val="2"/>
      </rPr>
      <t xml:space="preserve">알림장의 내용 중 과목명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영어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이나 짧은 단어 단위의 공지사항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체육대회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</si>
  <si>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
② 생활 속에서 자주 보는 친숙한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읽는다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요일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숫자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적힌 달력을 소리 내어 읽는다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알림장의 내용 중 과목명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영어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이나 짧은 단어 단위의 공지사항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체육대회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…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</si>
  <si>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-02</t>
    </r>
  </si>
  <si>
    <t xml:space="preserve">낱말을 읽고 알맞은 것을 찾아요</t>
  </si>
  <si>
    <t xml:space="preserve">R-1-2-1, R-1-2-2, R-1-2-3</t>
  </si>
  <si>
    <r>
      <rPr>
        <sz val="9"/>
        <rFont val="맑은 고딕"/>
        <family val="0"/>
        <charset val="1"/>
      </rPr>
      <t xml:space="preserve">R-1-2-1 </t>
    </r>
    <r>
      <rPr>
        <sz val="9"/>
        <rFont val="WenQuanYi Zen Hei"/>
        <family val="2"/>
      </rPr>
      <t xml:space="preserve">사물의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물건을 정확히 찾는다</t>
    </r>
    <r>
      <rPr>
        <sz val="9"/>
        <rFont val="맑은 고딕"/>
        <family val="0"/>
        <charset val="1"/>
      </rPr>
      <t xml:space="preserve">.
R-1-2-2 </t>
    </r>
    <r>
      <rPr>
        <sz val="9"/>
        <rFont val="WenQuanYi Zen Hei"/>
        <family val="2"/>
      </rPr>
      <t xml:space="preserve">동물 이름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코뿔소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표범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치타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원숭이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해당하는 동물의 사진을 정확히 찾는다</t>
    </r>
    <r>
      <rPr>
        <sz val="9"/>
        <rFont val="맑은 고딕"/>
        <family val="0"/>
        <charset val="1"/>
      </rPr>
      <t xml:space="preserve">.
R-1-2-3 </t>
    </r>
    <r>
      <rPr>
        <sz val="9"/>
        <rFont val="WenQuanYi Zen Hei"/>
        <family val="2"/>
      </rPr>
      <t xml:space="preserve">반대되는 의미를 가진 단어 쌍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크다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작다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적힌 카드를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쌍끼리 짝을 지어 분류한다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</si>
  <si>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코뿔소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표범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치타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원숭이
② 사물의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물건을 정확히 찾는다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동물 이름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코뿔소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표범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치타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원숭이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해당하는 동물의 사진을 정확히 찾는다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반대되는 의미를 가진 단어 쌍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크다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작다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적힌 카드를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쌍끼리 짝을 지어 분류한다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</si>
  <si>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읽고 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선 잇기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이름표 붙이기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</si>
  <si>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-03</t>
    </r>
  </si>
  <si>
    <t xml:space="preserve">식단표와 경고문을 읽어요</t>
  </si>
  <si>
    <r>
      <rPr>
        <sz val="9"/>
        <rFont val="WenQuanYi Zen Hei"/>
        <family val="2"/>
      </rPr>
      <t xml:space="preserve">일상과 학교생활에서 사용하는 안내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간판 등의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</si>
  <si>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학교생활에서 사용하는 안내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간판 등의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</si>
  <si>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R-1-3-1 </t>
    </r>
    <r>
      <rPr>
        <sz val="9"/>
        <rFont val="WenQuanYi Zen Hei"/>
        <family val="2"/>
      </rPr>
      <t xml:space="preserve">표지판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간판에 쓰여진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목적지를 찾는다</t>
    </r>
    <r>
      <rPr>
        <sz val="9"/>
        <rFont val="맑은 고딕"/>
        <family val="0"/>
        <charset val="1"/>
      </rPr>
      <t xml:space="preserve">.
R-1-3-2 </t>
    </r>
    <r>
      <rPr>
        <sz val="9"/>
        <rFont val="WenQuanYi Zen Hei"/>
        <family val="2"/>
      </rPr>
      <t xml:space="preserve">급식 식단표에 쓰인 음식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자신이 먹게 될 주요 메뉴를 파악한다</t>
    </r>
    <r>
      <rPr>
        <sz val="9"/>
        <rFont val="맑은 고딕"/>
        <family val="0"/>
        <charset val="1"/>
      </rPr>
      <t xml:space="preserve">.
R-1-3-3 </t>
    </r>
    <r>
      <rPr>
        <sz val="9"/>
        <rFont val="WenQuanYi Zen Hei"/>
        <family val="2"/>
      </rPr>
      <t xml:space="preserve">경고문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뛰지 마시오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멈추시오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기대지 마시오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해당하는 픽토그램을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</si>
  <si>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김치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
② 표지판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간판에 쓰여진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목적지를 찾는다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급식 식단표에 쓰인 음식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자신이 먹게 될 주요 메뉴를 파악한다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경고문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뛰지 마시오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멈추시오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기대지 마시오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해당하는 픽토그램을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</si>
  <si>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-08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</si>
  <si>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-04</t>
    </r>
  </si>
  <si>
    <t xml:space="preserve">받침과 비슷한 글자를 구별해 읽어요</t>
  </si>
  <si>
    <t xml:space="preserve">R-1-4-1, R-1-4-2</t>
  </si>
  <si>
    <r>
      <rPr>
        <sz val="9"/>
        <rFont val="맑은 고딕"/>
        <family val="0"/>
        <charset val="1"/>
      </rPr>
      <t xml:space="preserve">R-1-4-1 </t>
    </r>
    <r>
      <rPr>
        <sz val="9"/>
        <rFont val="WenQuanYi Zen Hei"/>
        <family val="2"/>
      </rPr>
      <t xml:space="preserve">받침이 있는 글자가 포함된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공이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엄마가 밥을 만들어요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연필이 책상 위에 있어요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비교적 정확한 발음으로 읽는다</t>
    </r>
    <r>
      <rPr>
        <sz val="9"/>
        <rFont val="맑은 고딕"/>
        <family val="0"/>
        <charset val="1"/>
      </rPr>
      <t xml:space="preserve">.
R-1-4-2 </t>
    </r>
    <r>
      <rPr>
        <sz val="9"/>
        <rFont val="WenQuanYi Zen Hei"/>
        <family val="2"/>
      </rPr>
      <t xml:space="preserve">글자 모양이 비슷한 글자들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포함된 짧은 문장을 눈으로 식별하여 정확한 소릿값으로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</si>
  <si>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가방 안에 공이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엄마가 밥을 만들어요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연필이 책상 위에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
② 받침이 있는 글자가 포함된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공이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엄마가 밥을 만들어요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연필이 책상 위에 있어요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비교적…
③ 글자 모양이 비슷한 글자들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포함된 짧은 문장을 눈으로 식별하여 정확한 소릿값으로 읽는다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R-1-4-1·R-1-4-2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</si>
  <si>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</t>
    </r>
  </si>
  <si>
    <t xml:space="preserve">문장부호를 살려 읽어요</t>
  </si>
  <si>
    <t xml:space="preserve">R-2-1-1, R-2-1-2, R-2-1-3</t>
  </si>
  <si>
    <r>
      <rPr>
        <sz val="9"/>
        <rFont val="맑은 고딕"/>
        <family val="0"/>
        <charset val="1"/>
      </rPr>
      <t xml:space="preserve">R-2-1-1 </t>
    </r>
    <r>
      <rPr>
        <sz val="9"/>
        <rFont val="WenQuanYi Zen Hei"/>
        <family val="2"/>
      </rPr>
      <t xml:space="preserve">문장의 띄어쓰기 단위 또는 어절에 맞춰 적절한 간격을 두어 읽는다</t>
    </r>
    <r>
      <rPr>
        <sz val="9"/>
        <rFont val="맑은 고딕"/>
        <family val="0"/>
        <charset val="1"/>
      </rPr>
      <t xml:space="preserve">.
R-2-1-2 </t>
    </r>
    <r>
      <rPr>
        <sz val="9"/>
        <rFont val="WenQuanYi Zen Hei"/>
        <family val="2"/>
      </rPr>
      <t xml:space="preserve">마침표</t>
    </r>
    <r>
      <rPr>
        <sz val="9"/>
        <rFont val="맑은 고딕"/>
        <family val="0"/>
        <charset val="1"/>
      </rPr>
      <t xml:space="preserve">(.)</t>
    </r>
    <r>
      <rPr>
        <sz val="9"/>
        <rFont val="WenQuanYi Zen Hei"/>
        <family val="2"/>
      </rPr>
      <t xml:space="preserve">가 있는 곳에서 문장이 끝났음을 인지하고 충분히 쉬어 읽는다</t>
    </r>
    <r>
      <rPr>
        <sz val="9"/>
        <rFont val="맑은 고딕"/>
        <family val="0"/>
        <charset val="1"/>
      </rPr>
      <t xml:space="preserve">.
R-2-1-3 </t>
    </r>
    <r>
      <rPr>
        <sz val="9"/>
        <rFont val="WenQuanYi Zen Hei"/>
        <family val="2"/>
      </rPr>
      <t xml:space="preserve">쉼표</t>
    </r>
    <r>
      <rPr>
        <sz val="9"/>
        <rFont val="맑은 고딕"/>
        <family val="0"/>
        <charset val="1"/>
      </rPr>
      <t xml:space="preserve">(,)</t>
    </r>
    <r>
      <rPr>
        <sz val="9"/>
        <rFont val="WenQuanYi Zen Hei"/>
        <family val="2"/>
      </rPr>
      <t xml:space="preserve">가 있는 곳에서 살짝 쉬어 읽으며 문맥을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</si>
  <si>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핵심 낱말
② 문장의 띄어쓰기 단위 또는 어절에 맞춰 적절한 간격을 두어 읽는다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마침표</t>
    </r>
    <r>
      <rPr>
        <sz val="9"/>
        <rFont val="맑은 고딕"/>
        <family val="0"/>
        <charset val="1"/>
      </rPr>
      <t xml:space="preserve">(.)</t>
    </r>
    <r>
      <rPr>
        <sz val="9"/>
        <rFont val="WenQuanYi Zen Hei"/>
        <family val="2"/>
      </rPr>
      <t xml:space="preserve">가 있는 곳에서 문장이 끝났음을 인지하고 충분히 쉬어 읽는다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쉼표</t>
    </r>
    <r>
      <rPr>
        <sz val="9"/>
        <rFont val="맑은 고딕"/>
        <family val="0"/>
        <charset val="1"/>
      </rPr>
      <t xml:space="preserve">(,)</t>
    </r>
    <r>
      <rPr>
        <sz val="9"/>
        <rFont val="WenQuanYi Zen Hei"/>
        <family val="2"/>
      </rPr>
      <t xml:space="preserve">가 있는 곳에서 살짝 쉬어 읽으며 문맥을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</si>
  <si>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-06,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</si>
  <si>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-06</t>
    </r>
  </si>
  <si>
    <t xml:space="preserve">문장을 읽고 뜻을 알아요</t>
  </si>
  <si>
    <t xml:space="preserve">R-2-2-1, R-2-2-2, R-2-2-3</t>
  </si>
  <si>
    <r>
      <rPr>
        <sz val="9"/>
        <rFont val="맑은 고딕"/>
        <family val="0"/>
        <charset val="1"/>
      </rPr>
      <t xml:space="preserve">R-2-2-1 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친구가 운동장에서 축구를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하는지 알맞은 그림을 고른다</t>
    </r>
    <r>
      <rPr>
        <sz val="9"/>
        <rFont val="맑은 고딕"/>
        <family val="0"/>
        <charset val="1"/>
      </rPr>
      <t xml:space="preserve">.
R-2-2-2 </t>
    </r>
    <r>
      <rPr>
        <sz val="9"/>
        <rFont val="WenQuanYi Zen Hei"/>
        <family val="2"/>
      </rPr>
      <t xml:space="preserve">장소에 따른 주의사항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도서관에서는 조용히 책을 읽습니다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문장의 내용에 알맞은 그림에 표시한다</t>
    </r>
    <r>
      <rPr>
        <sz val="9"/>
        <rFont val="맑은 고딕"/>
        <family val="0"/>
        <charset val="1"/>
      </rPr>
      <t xml:space="preserve">.
R-2-2-3 </t>
    </r>
    <r>
      <rPr>
        <sz val="9"/>
        <rFont val="WenQuanYi Zen Hei"/>
        <family val="2"/>
      </rPr>
      <t xml:space="preserve">교과서의 학습 목표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글을 읽고 중심 문장을 찾아봅시다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오늘 배울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중심 문장 찾기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무엇인지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</si>
  <si>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친구가 운동장에서 축구를 합니다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도서관에서는 조용히 책을 읽습니다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글을 읽고 중심 문장을 찾아봅시다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중심 문장 찾기
②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친구가 운동장에서 축구를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하는지 알맞은 그림을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장소에 따른 주의사항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도서관에서는 조용히 책을 읽습니다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문장의 내용에 알맞은 그림에 표시한다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교과서의 학습 목표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글을 읽고 중심 문장을 찾아봅시다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오늘 배울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중심 문장 찾기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이…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</si>
  <si>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-15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</si>
  <si>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-07</t>
    </r>
  </si>
  <si>
    <t xml:space="preserve">안내문과 광고문에서 정보를 찾아요</t>
  </si>
  <si>
    <r>
      <rPr>
        <sz val="9"/>
        <rFont val="WenQuanYi Zen Hei"/>
        <family val="2"/>
      </rPr>
      <t xml:space="preserve">안내문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광고문 등의 글을 읽고 정보를 찾을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</si>
  <si>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안내문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광고문 등의 글을 읽고 정보를 찾을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</si>
  <si>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R-2-3-1 </t>
    </r>
    <r>
      <rPr>
        <sz val="9"/>
        <rFont val="WenQuanYi Zen Hei"/>
        <family val="2"/>
      </rPr>
      <t xml:space="preserve">광고문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특산물 광고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상품명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종류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골라낸다</t>
    </r>
    <r>
      <rPr>
        <sz val="9"/>
        <rFont val="맑은 고딕"/>
        <family val="0"/>
        <charset val="1"/>
      </rPr>
      <t xml:space="preserve">.
R-2-3-2 </t>
    </r>
    <r>
      <rPr>
        <sz val="9"/>
        <rFont val="WenQuanYi Zen Hei"/>
        <family val="2"/>
      </rPr>
      <t xml:space="preserve">안내문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 대회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명확한 정보를 찾아내어 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날짜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준비물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옮겨 적는다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</si>
  <si>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특산물 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상품명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종류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 대회
② 광고문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특산물 광고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상품명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종류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골라낸다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안내문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 대회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명확한 정보를 찾아내어 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날짜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준비물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옮겨 적는다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R-2-3-1·R-2-3-2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</si>
  <si>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</si>
  <si>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</t>
    </r>
  </si>
  <si>
    <t xml:space="preserve">이어진 문장을 끊어 읽어요</t>
  </si>
  <si>
    <t xml:space="preserve">R-2-4-1, R-2-4-2, R-2-4-3, R-2-4-4</t>
  </si>
  <si>
    <r>
      <rPr>
        <sz val="9"/>
        <rFont val="맑은 고딕"/>
        <family val="0"/>
        <charset val="1"/>
      </rPr>
      <t xml:space="preserve">R-2-4-1 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동생은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귀여워요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주어와 서술어로 나누어 적절히 끊어 읽는다</t>
    </r>
    <r>
      <rPr>
        <sz val="9"/>
        <rFont val="맑은 고딕"/>
        <family val="0"/>
        <charset val="1"/>
      </rPr>
      <t xml:space="preserve">.
R-2-4-2 </t>
    </r>
    <r>
      <rPr>
        <sz val="9"/>
        <rFont val="WenQuanYi Zen Hei"/>
        <family val="2"/>
      </rPr>
      <t xml:space="preserve">꾸며주는 말이 포함된 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크고 맛있는 사과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하나의 의미 단위로 읽는다</t>
    </r>
    <r>
      <rPr>
        <sz val="9"/>
        <rFont val="맑은 고딕"/>
        <family val="0"/>
        <charset val="1"/>
      </rPr>
      <t xml:space="preserve">.
R-2-4-3 </t>
    </r>
    <r>
      <rPr>
        <sz val="9"/>
        <rFont val="WenQuanYi Zen Hei"/>
        <family val="2"/>
      </rPr>
      <t xml:space="preserve">이어주는 말</t>
    </r>
    <r>
      <rPr>
        <sz val="9"/>
        <rFont val="맑은 고딕"/>
        <family val="0"/>
        <charset val="1"/>
      </rPr>
      <t xml:space="preserve">(-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거나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이어서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해서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있는 문장을 앞 절과 뒤 절로 끊어 읽을 수 있다</t>
    </r>
    <r>
      <rPr>
        <sz val="9"/>
        <rFont val="맑은 고딕"/>
        <family val="0"/>
        <charset val="1"/>
      </rPr>
      <t xml:space="preserve">.
R-2-4-4 </t>
    </r>
    <r>
      <rPr>
        <sz val="9"/>
        <rFont val="WenQuanYi Zen Hei"/>
        <family val="2"/>
      </rPr>
      <t xml:space="preserve">안은문장을 의미 단위로 나누어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</si>
  <si>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동생은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귀여워요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크고 맛있는 사과
②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동생은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귀여워요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주어와 서술어로 나누어 적절히 끊어 읽는다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꾸며주는 말이 포함된 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크고 맛있는 사과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하나의 의미 단위로 읽는다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이어주는 말</t>
    </r>
    <r>
      <rPr>
        <sz val="9"/>
        <rFont val="맑은 고딕"/>
        <family val="0"/>
        <charset val="1"/>
      </rPr>
      <t xml:space="preserve">(-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거나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이어서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해서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있는 문장을 앞 절과 뒤 절로 끊어 읽을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</si>
  <si>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끊어 읽기 표시</t>
    </r>
    <r>
      <rPr>
        <sz val="9"/>
        <rFont val="맑은 고딕"/>
        <family val="0"/>
        <charset val="1"/>
      </rPr>
      <t xml:space="preserve">(v </t>
    </r>
    <r>
      <rPr>
        <sz val="9"/>
        <rFont val="WenQuanYi Zen Hei"/>
        <family val="2"/>
      </rPr>
      <t xml:space="preserve">넣기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읽고 보기 고르기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선 잇기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이름표 붙이기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</si>
  <si>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-06,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</si>
  <si>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</t>
    </r>
  </si>
  <si>
    <t xml:space="preserve">취미에 관한 글을 읽어요</t>
  </si>
  <si>
    <r>
      <rPr>
        <sz val="9"/>
        <rFont val="WenQuanYi Zen Hei"/>
        <family val="2"/>
      </rPr>
      <t xml:space="preserve">친숙한 주제의 글을 읽고 대강의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</si>
  <si>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글을 읽고 대강의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</si>
  <si>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R-3-1-1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생활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내용에 맞는 그림을 고른다</t>
    </r>
    <r>
      <rPr>
        <sz val="9"/>
        <rFont val="맑은 고딕"/>
        <family val="0"/>
        <charset val="1"/>
      </rPr>
      <t xml:space="preserve">.
R-3-1-2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생활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</si>
  <si>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생활
② 친숙한 주제</t>
    </r>
    <r>
      <rPr>
        <sz val="9"/>
        <rFont val="맑은 고딕"/>
        <family val="0"/>
        <charset val="1"/>
      </rPr>
      <t xml:space="preserve">(K-pop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생활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내용에 맞는 그림을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생활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답한다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R-3-1-1·R-3-1-2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</si>
  <si>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-11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</si>
  <si>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-10</t>
    </r>
  </si>
  <si>
    <t xml:space="preserve">사실과 의견을 구분해요</t>
  </si>
  <si>
    <r>
      <rPr>
        <sz val="9"/>
        <rFont val="WenQuanYi Zen Hei"/>
        <family val="2"/>
      </rPr>
      <t xml:space="preserve">글을 읽고 사실과 생각이나 느낌을 구분할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</si>
  <si>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사실과 생각이나 느낌을 구분할 수 있다</t>
    </r>
    <r>
      <rPr>
        <sz val="9"/>
        <rFont val="맑은 고딕"/>
        <family val="0"/>
        <charset val="1"/>
      </rPr>
      <t xml:space="preserve">.</t>
    </r>
  </si>
  <si>
    <t xml:space="preserve">R-3-2-1, R-3-2-2</t>
  </si>
  <si>
    <r>
      <rPr>
        <sz val="9"/>
        <rFont val="맑은 고딕"/>
        <family val="0"/>
        <charset val="1"/>
      </rPr>
      <t xml:space="preserve">R-3-2-1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체험활동 보고서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사실과 생각이나 느낌을 구분한다</t>
    </r>
    <r>
      <rPr>
        <sz val="9"/>
        <rFont val="맑은 고딕"/>
        <family val="0"/>
        <charset val="1"/>
      </rPr>
      <t xml:space="preserve">.
R-3-2-2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감상문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글쓴이의 개인적인 의견이나 느낌이 담긴 문장을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</si>
  <si>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체험활동 보고서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감상문
②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체험활동 보고서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사실과 생각이나 느낌을 구분한다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감상문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글쓴이의 개인적인 의견이나 느낌이 담긴 문장을 찾는다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R-3-2-1·R-3-2-2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</si>
  <si>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</si>
  <si>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-11</t>
    </r>
  </si>
  <si>
    <t xml:space="preserve">설명하는 글과 이야기를 읽어요</t>
  </si>
  <si>
    <r>
      <rPr>
        <sz val="9"/>
        <rFont val="맑은 고딕"/>
        <family val="0"/>
        <charset val="1"/>
      </rPr>
      <t xml:space="preserve">R-3-3-1 </t>
    </r>
    <r>
      <rPr>
        <sz val="9"/>
        <rFont val="WenQuanYi Zen Hei"/>
        <family val="2"/>
      </rPr>
      <t xml:space="preserve">설명문을 읽고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가지 이상 주요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대상의 생김새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찾는다</t>
    </r>
    <r>
      <rPr>
        <sz val="9"/>
        <rFont val="맑은 고딕"/>
        <family val="0"/>
        <charset val="1"/>
      </rPr>
      <t xml:space="preserve">.
R-3-3-2 </t>
    </r>
    <r>
      <rPr>
        <sz val="9"/>
        <rFont val="WenQuanYi Zen Hei"/>
        <family val="2"/>
      </rPr>
      <t xml:space="preserve">이야기를 읽고 인물과 배경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</si>
  <si>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대상의 생김새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
② 설명문을 읽고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가지 이상 주요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대상의 생김새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찾는다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이야기를 읽고 인물과 배경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R-3-3-1·R-3-3-2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</si>
  <si>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</si>
  <si>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-12</t>
    </r>
  </si>
  <si>
    <t xml:space="preserve">문단의 중심 문장을 찾아요</t>
  </si>
  <si>
    <r>
      <rPr>
        <sz val="9"/>
        <rFont val="WenQuanYi Zen Hei"/>
        <family val="2"/>
      </rPr>
      <t xml:space="preserve">한 문단을 읽고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</si>
  <si>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한 문단을 읽고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</si>
  <si>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R-3-4-1 </t>
    </r>
    <r>
      <rPr>
        <sz val="9"/>
        <rFont val="WenQuanYi Zen Hei"/>
        <family val="2"/>
      </rPr>
      <t xml:space="preserve">하나의 문단을 읽고 그 문단의 소주제 또는 제목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자연 보호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정한다</t>
    </r>
    <r>
      <rPr>
        <sz val="9"/>
        <rFont val="맑은 고딕"/>
        <family val="0"/>
        <charset val="1"/>
      </rPr>
      <t xml:space="preserve">.
R-3-4-2 </t>
    </r>
    <r>
      <rPr>
        <sz val="9"/>
        <rFont val="WenQuanYi Zen Hei"/>
        <family val="2"/>
      </rPr>
      <t xml:space="preserve">중심 문장과 뒷받침 문장으로 이루어진 문단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언어 예절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핵심 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바른 말과 고운 말을 씁시다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만 포함된 문장을 골라낸다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</si>
  <si>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자연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언어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바른 말과 고운 말을 씁시다
② 하나의 문단을 읽고 그 문단의 소주제 또는 제목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자연 보호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정한다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중심 문장과 뒷받침 문장으로 이루어진 문단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언어 예절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핵심 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바른 말과 고운 말을 씁시다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만 포함된 …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R-3-4-1·R-3-4-2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</si>
  <si>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-13</t>
    </r>
  </si>
  <si>
    <t xml:space="preserve">여러 주제의 글을 비교하며 읽어요</t>
  </si>
  <si>
    <r>
      <rPr>
        <sz val="9"/>
        <rFont val="WenQuanYi Zen Hei"/>
        <family val="2"/>
      </rPr>
      <t xml:space="preserve">다양한 주제의 글을 읽고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</si>
  <si>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주제의 글을 읽고 내용을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</si>
  <si>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R-4-1-1 </t>
    </r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한국문화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온라인 언어폭력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약물 오남용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중심내용을 찾는다</t>
    </r>
    <r>
      <rPr>
        <sz val="9"/>
        <rFont val="맑은 고딕"/>
        <family val="0"/>
        <charset val="1"/>
      </rPr>
      <t xml:space="preserve">.
R-4-1-2 </t>
    </r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인공지능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대상의 장점과 단점을 비교한다</t>
    </r>
    <r>
      <rPr>
        <sz val="9"/>
        <rFont val="맑은 고딕"/>
        <family val="0"/>
        <charset val="1"/>
      </rPr>
      <t xml:space="preserve">.
R-4-1-3 </t>
    </r>
    <r>
      <rPr>
        <sz val="9"/>
        <rFont val="WenQuanYi Zen Hei"/>
        <family val="2"/>
      </rPr>
      <t xml:space="preserve">다른 나라의 문화나 축제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추수감사절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춘절과 추석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글을 읽고 우리나라 문화와 비교한다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</si>
  <si>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한국문화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온라인 언어폭력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약물 오남용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인공지능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추수감사절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춘절과 추석
② 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한국문화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온라인 언어폭력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약물 오남용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중심내용을 찾는다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인공지능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대상의 장점과 단점을 비교한다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다른 나라의 문화나 축제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추수감사절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춘절과 추석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글을 읽고 우리나라 문화와 비교한다</t>
    </r>
    <r>
      <rPr>
        <sz val="9"/>
        <rFont val="맑은 고딕"/>
        <family val="0"/>
        <charset val="1"/>
      </rPr>
      <t xml:space="preserve">.</t>
    </r>
  </si>
  <si>
    <t xml:space="preserve">문화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</si>
  <si>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-14</t>
    </r>
  </si>
  <si>
    <t xml:space="preserve">앞뒤를 보고 짐작하며 읽어요</t>
  </si>
  <si>
    <r>
      <rPr>
        <sz val="9"/>
        <rFont val="WenQuanYi Zen Hei"/>
        <family val="2"/>
      </rPr>
      <t xml:space="preserve">글을 읽고 의미나 내용을 추론할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</si>
  <si>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의미나 내용을 추론할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</si>
  <si>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R-4-2-1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다음에 이어질 이야기를 짐작하여 고른다</t>
    </r>
    <r>
      <rPr>
        <sz val="9"/>
        <rFont val="맑은 고딕"/>
        <family val="0"/>
        <charset val="1"/>
      </rPr>
      <t xml:space="preserve">.
R-4-2-2 </t>
    </r>
    <r>
      <rPr>
        <sz val="9"/>
        <rFont val="WenQuanYi Zen Hei"/>
        <family val="2"/>
      </rPr>
      <t xml:space="preserve">비언어적 묘사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얼굴이 찡그려지다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손을 부르르 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인물의 마음을 추측한다</t>
    </r>
    <r>
      <rPr>
        <sz val="9"/>
        <rFont val="맑은 고딕"/>
        <family val="0"/>
        <charset val="1"/>
      </rPr>
      <t xml:space="preserve">.
R-4-2-3 </t>
    </r>
    <r>
      <rPr>
        <sz val="9"/>
        <rFont val="WenQuanYi Zen Hei"/>
        <family val="2"/>
      </rPr>
      <t xml:space="preserve">모르는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증발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나왔을 때 문맥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물이 끓어서 증발해서 물이 줄어들었어요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통해 단어의 대략적인 의미를 짐작한다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</si>
  <si>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얼굴이 찡그려지다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손을 부르르 떨다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증발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물이 끓어서 증발해서 물이 줄어들었어요
②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다음에 이어질 이야기를 짐작하여 고른다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비언어적 묘사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얼굴이 찡그려지다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손을 부르르 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인물의 마음을 추측한다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모르는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증발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나왔을 때 문맥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물이 끓어서 증발해서 물이 줄어들었어요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통해 단어의 대략…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</si>
  <si>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-10, </t>
    </r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-12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</si>
  <si>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-15</t>
    </r>
  </si>
  <si>
    <t xml:space="preserve">설명서와 주장하는 글을 읽어요</t>
  </si>
  <si>
    <r>
      <rPr>
        <sz val="9"/>
        <rFont val="WenQuanYi Zen Hei"/>
        <family val="2"/>
      </rPr>
      <t xml:space="preserve">교과서에 나오는 다양한 형식의 글을 읽고 주요 내용을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</si>
  <si>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교과서에 나오는 다양한 형식의 글을 읽고 주요 내용을 파악할 수 있다</t>
    </r>
    <r>
      <rPr>
        <sz val="9"/>
        <rFont val="맑은 고딕"/>
        <family val="0"/>
        <charset val="1"/>
      </rPr>
      <t xml:space="preserve">.</t>
    </r>
  </si>
  <si>
    <t xml:space="preserve">R-4-3-1, R-4-3-2</t>
  </si>
  <si>
    <r>
      <rPr>
        <sz val="9"/>
        <rFont val="맑은 고딕"/>
        <family val="0"/>
        <charset val="1"/>
      </rPr>
      <t xml:space="preserve">R-4-3-1 </t>
    </r>
    <r>
      <rPr>
        <sz val="9"/>
        <rFont val="WenQuanYi Zen Hei"/>
        <family val="2"/>
      </rPr>
      <t xml:space="preserve">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사용설명서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레시피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공지사항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자기소개서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핵심 내용을 찾는다</t>
    </r>
    <r>
      <rPr>
        <sz val="9"/>
        <rFont val="맑은 고딕"/>
        <family val="0"/>
        <charset val="1"/>
      </rPr>
      <t xml:space="preserve">.
R-4-3-2 </t>
    </r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공익광고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주장과 근거를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</si>
  <si>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사용설명서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레시피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공지사항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자기소개서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공익광고 글
②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사용설명서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레시피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공지사항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자기소개서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핵심 내용을 찾는다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공익광고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주장과 근거를 고른다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R-4-3-1·R-4-3-2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</si>
  <si>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-16</t>
    </r>
  </si>
  <si>
    <t xml:space="preserve">글의 구조를 파악해요</t>
  </si>
  <si>
    <r>
      <rPr>
        <sz val="9"/>
        <rFont val="WenQuanYi Zen Hei"/>
        <family val="2"/>
      </rPr>
      <t xml:space="preserve">다양한 유형의 글을 읽고 내용의 흐름을 파악할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</si>
  <si>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유형의 글을 읽고 내용의 흐름을 파악할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</si>
  <si>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R-4-4-1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전기문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요약된 문장을 순서대로 배열한다</t>
    </r>
    <r>
      <rPr>
        <sz val="9"/>
        <rFont val="맑은 고딕"/>
        <family val="0"/>
        <charset val="1"/>
      </rPr>
      <t xml:space="preserve">.
R-4-4-2 </t>
    </r>
    <r>
      <rPr>
        <sz val="9"/>
        <rFont val="WenQuanYi Zen Hei"/>
        <family val="2"/>
      </rPr>
      <t xml:space="preserve">글의 구조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서론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본론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결론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따라 글의 순서를 배치한다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</si>
  <si>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전기문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서론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본론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결론
②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전기문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요약된 문장을 순서대로 배열한다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글의 구조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서론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본론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결론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따라 글의 순서를 배치한다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R-4-4-1·R-4-4-2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</si>
  <si>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끌어 놓기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</si>
  <si>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-01</t>
    </r>
  </si>
  <si>
    <t xml:space="preserve">글자와 낱말을 써요</t>
  </si>
  <si>
    <r>
      <rPr>
        <sz val="9"/>
        <rFont val="맑은 고딕"/>
        <family val="0"/>
        <charset val="1"/>
      </rPr>
      <t xml:space="preserve">W-1-1-1 </t>
    </r>
    <r>
      <rPr>
        <sz val="9"/>
        <rFont val="WenQuanYi Zen Hei"/>
        <family val="2"/>
      </rPr>
      <t xml:space="preserve">제시한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같은 글자를 쓴다</t>
    </r>
    <r>
      <rPr>
        <sz val="9"/>
        <rFont val="맑은 고딕"/>
        <family val="0"/>
        <charset val="1"/>
      </rPr>
      <t xml:space="preserve">.
W-1-1-2 </t>
    </r>
    <r>
      <rPr>
        <sz val="9"/>
        <rFont val="WenQuanYi Zen Hei"/>
        <family val="2"/>
      </rPr>
      <t xml:space="preserve">그림 옆에 제시된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W-1-1-3 </t>
    </r>
    <r>
      <rPr>
        <sz val="9"/>
        <rFont val="WenQuanYi Zen Hei"/>
        <family val="2"/>
      </rPr>
      <t xml:space="preserve">일상생활에서 자주 보는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</si>
  <si>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
② 제시한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같은 글자를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그림 옆에 제시된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일상생활에서 자주 보는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</si>
  <si>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-02</t>
    </r>
  </si>
  <si>
    <t xml:space="preserve">획순과 모양에 맞게 써요</t>
  </si>
  <si>
    <t xml:space="preserve">W-1-2-1, W-1-2-2, W-1-2-3</t>
  </si>
  <si>
    <r>
      <rPr>
        <sz val="9"/>
        <rFont val="맑은 고딕"/>
        <family val="0"/>
        <charset val="1"/>
      </rPr>
      <t xml:space="preserve">W-1-2-1 </t>
    </r>
    <r>
      <rPr>
        <sz val="9"/>
        <rFont val="WenQuanYi Zen Hei"/>
        <family val="2"/>
      </rPr>
      <t xml:space="preserve">헷갈리기 쉬운 자음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ㄹ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ㅂ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ㅍ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획순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필순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쓴다</t>
    </r>
    <r>
      <rPr>
        <sz val="9"/>
        <rFont val="맑은 고딕"/>
        <family val="0"/>
        <charset val="1"/>
      </rPr>
      <t xml:space="preserve">.
W-1-2-2 </t>
    </r>
    <r>
      <rPr>
        <sz val="9"/>
        <rFont val="WenQuanYi Zen Hei"/>
        <family val="2"/>
      </rPr>
      <t xml:space="preserve">모음의 획</t>
    </r>
    <r>
      <rPr>
        <sz val="9"/>
        <rFont val="맑은 고딕"/>
        <family val="0"/>
        <charset val="1"/>
      </rPr>
      <t xml:space="preserve">('</t>
    </r>
    <r>
      <rPr>
        <sz val="9"/>
        <rFont val="WenQuanYi Zen Hei"/>
        <family val="2"/>
      </rPr>
      <t xml:space="preserve">ㅏ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의 짧은 가로획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명확하게 그어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다른 모음과 혼동되지 않도록 또박또박 쓴다</t>
    </r>
    <r>
      <rPr>
        <sz val="9"/>
        <rFont val="맑은 고딕"/>
        <family val="0"/>
        <charset val="1"/>
      </rPr>
      <t xml:space="preserve">.
W-1-2-3 </t>
    </r>
    <r>
      <rPr>
        <sz val="9"/>
        <rFont val="WenQuanYi Zen Hei"/>
        <family val="2"/>
      </rPr>
      <t xml:space="preserve">받침이 있는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쓸 때 위아래 균형을 맞추어 반듯한 모양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자형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</si>
  <si>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ㄹ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ㅂ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ㅍ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필순</t>
    </r>
    <r>
      <rPr>
        <sz val="9"/>
        <rFont val="맑은 고딕"/>
        <family val="0"/>
        <charset val="1"/>
      </rPr>
      <t xml:space="preserve">, '</t>
    </r>
    <r>
      <rPr>
        <sz val="9"/>
        <rFont val="WenQuanYi Zen Hei"/>
        <family val="2"/>
      </rPr>
      <t xml:space="preserve">ㅏ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의 짧은 가로획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각
② 헷갈리기 쉬운 자음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ㄹ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ㅂ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ㅍ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획순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필순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모음의 획</t>
    </r>
    <r>
      <rPr>
        <sz val="9"/>
        <rFont val="맑은 고딕"/>
        <family val="0"/>
        <charset val="1"/>
      </rPr>
      <t xml:space="preserve">('</t>
    </r>
    <r>
      <rPr>
        <sz val="9"/>
        <rFont val="WenQuanYi Zen Hei"/>
        <family val="2"/>
      </rPr>
      <t xml:space="preserve">ㅏ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의 짧은 가로획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명확하게 그어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다른 모음과 혼동되지 않도록 또박또박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받침이 있는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쓸 때 위아래 균형을 맞추어 반듯한 모양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자형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</si>
  <si>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-03</t>
    </r>
  </si>
  <si>
    <t xml:space="preserve">나를 소개하고 인사 카드를 써요</t>
  </si>
  <si>
    <r>
      <rPr>
        <sz val="9"/>
        <rFont val="맑은 고딕"/>
        <family val="0"/>
        <charset val="1"/>
      </rPr>
      <t xml:space="preserve">W-1-3-1 </t>
    </r>
    <r>
      <rPr>
        <sz val="9"/>
        <rFont val="WenQuanYi Zen Hei"/>
        <family val="2"/>
      </rPr>
      <t xml:space="preserve">자신의 출신 국가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필리핀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베트남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키르기스스탄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카자흐스탄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중국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한글로 쓴다</t>
    </r>
    <r>
      <rPr>
        <sz val="9"/>
        <rFont val="맑은 고딕"/>
        <family val="0"/>
        <charset val="1"/>
      </rPr>
      <t xml:space="preserve">.
W-1-3-2 </t>
    </r>
    <r>
      <rPr>
        <sz val="9"/>
        <rFont val="WenQuanYi Zen Hei"/>
        <family val="2"/>
      </rPr>
      <t xml:space="preserve">자신과 관련된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학년 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찾아 쓴다</t>
    </r>
    <r>
      <rPr>
        <sz val="9"/>
        <rFont val="맑은 고딕"/>
        <family val="0"/>
        <charset val="1"/>
      </rPr>
      <t xml:space="preserve">.
W-1-3-3 </t>
    </r>
    <r>
      <rPr>
        <sz val="9"/>
        <rFont val="WenQuanYi Zen Hei"/>
        <family val="2"/>
      </rPr>
      <t xml:space="preserve">특정 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생일 축하해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고마워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담은 카드를 적는다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</si>
  <si>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필리핀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베트남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키르기스스탄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카자흐스탄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이름
② 자신의 출신 국가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필리핀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베트남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키르기스스탄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카자흐스탄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중국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한글로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자신과 관련된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학년 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찾아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특정 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생일 축하해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고마워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담은 카드를 적는다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</si>
  <si>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-04</t>
    </r>
  </si>
  <si>
    <r>
      <rPr>
        <sz val="9"/>
        <rFont val="맑은 고딕"/>
        <family val="0"/>
        <charset val="1"/>
      </rPr>
      <t xml:space="preserve">W-1-4-1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낱말을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</si>
  <si>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우산
②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낱말을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W-1-4-1)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</si>
  <si>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</t>
    </r>
  </si>
  <si>
    <t xml:space="preserve">기본 문장을 써요</t>
  </si>
  <si>
    <t xml:space="preserve">W-2-1-1, W-2-1-2</t>
  </si>
  <si>
    <r>
      <rPr>
        <sz val="9"/>
        <rFont val="맑은 고딕"/>
        <family val="0"/>
        <charset val="1"/>
      </rPr>
      <t xml:space="preserve">W-2-1-1 </t>
    </r>
    <r>
      <rPr>
        <sz val="9"/>
        <rFont val="WenQuanYi Zen Hei"/>
        <family val="2"/>
      </rPr>
      <t xml:space="preserve">주어와 서술어를 갖춘 완전한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학년입니다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W-2-1-2 </t>
    </r>
    <r>
      <rPr>
        <sz val="9"/>
        <rFont val="WenQuanYi Zen Hei"/>
        <family val="2"/>
      </rPr>
      <t xml:space="preserve">알고 있는 단어 여러 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연결하여 기본 문장 구조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사과를 먹습니다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만든다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</si>
  <si>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학년입니다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나는 사과를 먹습니다
② 주어와 서술어를 갖춘 완전한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학년입니다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알고 있는 단어 여러 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연결하여 기본 문장 구조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사과를 먹습니다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만든다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W-2-1-1·W-2-1-2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</si>
  <si>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-06,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</si>
  <si>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-06</t>
    </r>
  </si>
  <si>
    <t xml:space="preserve">문장을 바꾸어 써요</t>
  </si>
  <si>
    <r>
      <rPr>
        <sz val="9"/>
        <rFont val="WenQuanYi Zen Hei"/>
        <family val="2"/>
      </rPr>
      <t xml:space="preserve">문장의 내용을 부분적으로 바꾸어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</si>
  <si>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문장의 내용을 부분적으로 바꾸어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</si>
  <si>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W-2-2-1 </t>
    </r>
    <r>
      <rPr>
        <sz val="9"/>
        <rFont val="WenQuanYi Zen Hei"/>
        <family val="2"/>
      </rPr>
      <t xml:space="preserve">긍정문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비가 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부정문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비가 안 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또는 비가 오지 않습니다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바꿔 쓴다</t>
    </r>
    <r>
      <rPr>
        <sz val="9"/>
        <rFont val="맑은 고딕"/>
        <family val="0"/>
        <charset val="1"/>
      </rPr>
      <t xml:space="preserve">.
W-2-2-2 </t>
    </r>
    <r>
      <rPr>
        <sz val="9"/>
        <rFont val="WenQuanYi Zen Hei"/>
        <family val="2"/>
      </rPr>
      <t xml:space="preserve">빈칸이 주어진 문장 형식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에서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을 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자신의 경험을 적는다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</si>
  <si>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비가 옵니다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비가 안 옵니다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또는 비가 오지 않습니다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에서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을 했습니다
② 긍정문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비가 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부정문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비가 안 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또는 비가 오지 않습니다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바꿔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빈칸이 주어진 문장 형식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에서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을 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자신의 경험을 적는다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W-2-2-1·W-2-2-2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</si>
  <si>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-07</t>
    </r>
  </si>
  <si>
    <t xml:space="preserve">겪은 일을 이어서 써요</t>
  </si>
  <si>
    <t xml:space="preserve">W-2-3-1, W-2-3-2</t>
  </si>
  <si>
    <r>
      <rPr>
        <sz val="9"/>
        <rFont val="맑은 고딕"/>
        <family val="0"/>
        <charset val="1"/>
      </rPr>
      <t xml:space="preserve">W-2-3-1 </t>
    </r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한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개의 문장으로 이어지게 쓴다</t>
    </r>
    <r>
      <rPr>
        <sz val="9"/>
        <rFont val="맑은 고딕"/>
        <family val="0"/>
        <charset val="1"/>
      </rPr>
      <t xml:space="preserve">.
W-2-3-2 </t>
    </r>
    <r>
      <rPr>
        <sz val="9"/>
        <rFont val="WenQuanYi Zen Hei"/>
        <family val="2"/>
      </rPr>
      <t xml:space="preserve">경험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한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원인과 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감정 등을 포함하여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문장 정도로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</si>
  <si>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방학동안 한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
② 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한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개의 문장으로 이어지게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경험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한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원인과 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감정 등을 포함하여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문장 정도로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W-2-3-1·W-2-3-2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</si>
  <si>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-12,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-10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</si>
  <si>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-08</t>
    </r>
  </si>
  <si>
    <t xml:space="preserve">용건과 알림장을 메모해요</t>
  </si>
  <si>
    <r>
      <rPr>
        <sz val="9"/>
        <rFont val="WenQuanYi Zen Hei"/>
        <family val="2"/>
      </rPr>
      <t xml:space="preserve">일상과 학교생활에서 필요한 간단한 메모를 할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</si>
  <si>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학교생활에서 필요한 간단한 메모를 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</si>
  <si>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W-2-4-1 </t>
    </r>
    <r>
      <rPr>
        <sz val="9"/>
        <rFont val="WenQuanYi Zen Hei"/>
        <family val="2"/>
      </rPr>
      <t xml:space="preserve">친구에게 전할 짧은 용건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 화장실 갔다 올게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서준이가 찾아왔었어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점심시간에 만나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메모한다</t>
    </r>
    <r>
      <rPr>
        <sz val="9"/>
        <rFont val="맑은 고딕"/>
        <family val="0"/>
        <charset val="1"/>
      </rPr>
      <t xml:space="preserve">.
W-2-4-2 </t>
    </r>
    <r>
      <rPr>
        <sz val="9"/>
        <rFont val="WenQuanYi Zen Hei"/>
        <family val="2"/>
      </rPr>
      <t xml:space="preserve">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알림장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요약하여 적는다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</si>
  <si>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 화장실 갔다 올게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서준이가 찾아왔었어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점심시간에 만나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알림장
② 친구에게 전할 짧은 용건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 화장실 갔다 올게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서준이가 찾아왔었어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점심시간에 만나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메모한다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알림장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요약하여 적는다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W-2-4-1·W-2-4-2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</si>
  <si>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-03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</si>
  <si>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-09</t>
    </r>
  </si>
  <si>
    <t xml:space="preserve">생각과 느낌을 살려 써요</t>
  </si>
  <si>
    <r>
      <rPr>
        <sz val="9"/>
        <rFont val="WenQuanYi Zen Hei"/>
        <family val="2"/>
      </rPr>
      <t xml:space="preserve">생각이나 느낌이 잘 드러나는 글을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</si>
  <si>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생각이나 느낌이 잘 드러나는 글을 쓸 수 있다</t>
    </r>
    <r>
      <rPr>
        <sz val="9"/>
        <rFont val="맑은 고딕"/>
        <family val="0"/>
        <charset val="1"/>
      </rPr>
      <t xml:space="preserve">.</t>
    </r>
  </si>
  <si>
    <t xml:space="preserve">W-3-1-1, W-3-1-2, W-3-1-3</t>
  </si>
  <si>
    <r>
      <rPr>
        <sz val="9"/>
        <rFont val="맑은 고딕"/>
        <family val="0"/>
        <charset val="1"/>
      </rPr>
      <t xml:space="preserve">W-3-1-1 </t>
    </r>
    <r>
      <rPr>
        <sz val="9"/>
        <rFont val="WenQuanYi Zen Hei"/>
        <family val="2"/>
      </rPr>
      <t xml:space="preserve">경험과 그에 대한 감정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속상했다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뿌듯했다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구체적인 단어를 사용해 일기를 쓴다</t>
    </r>
    <r>
      <rPr>
        <sz val="9"/>
        <rFont val="맑은 고딕"/>
        <family val="0"/>
        <charset val="1"/>
      </rPr>
      <t xml:space="preserve">.
W-3-1-2 </t>
    </r>
    <r>
      <rPr>
        <sz val="9"/>
        <rFont val="WenQuanYi Zen Hei"/>
        <family val="2"/>
      </rPr>
      <t xml:space="preserve">감명 깊었던 장면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미운 오리 새끼가 백조가 되는 장면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주인공에게 친구가 생겨서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이젠 혼자가 아니라서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중심으로 감상문을 쓴다</t>
    </r>
    <r>
      <rPr>
        <sz val="9"/>
        <rFont val="맑은 고딕"/>
        <family val="0"/>
        <charset val="1"/>
      </rPr>
      <t xml:space="preserve">.
W-3-1-3 </t>
    </r>
    <r>
      <rPr>
        <sz val="9"/>
        <rFont val="WenQuanYi Zen Hei"/>
        <family val="2"/>
      </rPr>
      <t xml:space="preserve">자신의 생각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감사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요청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제안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담아 편지를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</si>
  <si>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속상했다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뿌듯했다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미운 오리 새끼가 백조가 되는 장면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주인공에게 친구가 생겨서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이젠 혼자가 아니라서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감사
② 경험과 그에 대한 감정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속상했다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뿌듯했다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구체적인 단어를 사용해 일기를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감명 깊었던 장면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미운 오리 새끼가 백조가 되는 장면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주인공에게 친구가 생겨서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이젠 혼자가 아니라서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를…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자신의 생각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감사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요청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제안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담아 편지를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</si>
  <si>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-10</t>
    </r>
  </si>
  <si>
    <t xml:space="preserve">조사와 높임말을 바르게 써요</t>
  </si>
  <si>
    <r>
      <rPr>
        <sz val="9"/>
        <rFont val="맑은 고딕"/>
        <family val="0"/>
        <charset val="1"/>
      </rPr>
      <t xml:space="preserve">W-3-2-1 </t>
    </r>
    <r>
      <rPr>
        <sz val="9"/>
        <rFont val="WenQuanYi Zen Hei"/>
        <family val="2"/>
      </rPr>
      <t xml:space="preserve">기본적인 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을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문맥과 앞 단어의 받침 유무에 맞게 쓴다</t>
    </r>
    <r>
      <rPr>
        <sz val="9"/>
        <rFont val="맑은 고딕"/>
        <family val="0"/>
        <charset val="1"/>
      </rPr>
      <t xml:space="preserve">.
W-3-2-2 </t>
    </r>
    <r>
      <rPr>
        <sz val="9"/>
        <rFont val="WenQuanYi Zen Hei"/>
        <family val="2"/>
      </rPr>
      <t xml:space="preserve">높임말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주무시다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드시다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계시다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생신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연세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알맞게 사용한다</t>
    </r>
    <r>
      <rPr>
        <sz val="9"/>
        <rFont val="맑은 고딕"/>
        <family val="0"/>
        <charset val="1"/>
      </rPr>
      <t xml:space="preserve">.
W-3-2-3 </t>
    </r>
    <r>
      <rPr>
        <sz val="9"/>
        <rFont val="WenQuanYi Zen Hei"/>
        <family val="2"/>
      </rPr>
      <t xml:space="preserve">문장의 시제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한다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할 것이다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서술어의 형태를 변형한다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</si>
  <si>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를
② 기본적인 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을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문맥과 앞 단어의 받침 유무에 맞게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높임말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주무시다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드시다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계시다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생신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연세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알맞게 사용한다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문장의 시제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한다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할 것이다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서술어의 형태를 변형한다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</si>
  <si>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-20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</si>
  <si>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-11</t>
    </r>
  </si>
  <si>
    <t xml:space="preserve">좋아하는 것을 설명하는 글을 써요</t>
  </si>
  <si>
    <r>
      <rPr>
        <sz val="9"/>
        <rFont val="WenQuanYi Zen Hei"/>
        <family val="2"/>
      </rPr>
      <t xml:space="preserve">친숙한 대상이나 사물에 관해 설명하는 글을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</si>
  <si>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대상이나 사물에 관해 설명하는 글을 쓸 수 있다</t>
    </r>
    <r>
      <rPr>
        <sz val="9"/>
        <rFont val="맑은 고딕"/>
        <family val="0"/>
        <charset val="1"/>
      </rPr>
      <t xml:space="preserve">.</t>
    </r>
  </si>
  <si>
    <t xml:space="preserve">W-3-3-1</t>
  </si>
  <si>
    <r>
      <rPr>
        <sz val="9"/>
        <rFont val="맑은 고딕"/>
        <family val="0"/>
        <charset val="1"/>
      </rPr>
      <t xml:space="preserve">W-3-3-1 </t>
    </r>
    <r>
      <rPr>
        <sz val="9"/>
        <rFont val="WenQuanYi Zen Hei"/>
        <family val="2"/>
      </rPr>
      <t xml:space="preserve">친숙한 대상이나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아이돌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굿즈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교우 관계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구체적 특징을 들어 알기 쉽게 설명하는 글을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</si>
  <si>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아이돌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굿즈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교우 관계
② 친숙한 대상이나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아이돌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굿즈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교우 관계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구체적 특징을 들어 알기 쉽게 설명하는 글을…
③ 같은 방식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소재를 바꿔 한 번 더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W-3-3-1)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</si>
  <si>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-09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</si>
  <si>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</t>
    </r>
  </si>
  <si>
    <t xml:space="preserve">친구들에게 정보를 알리는 글을 써요</t>
  </si>
  <si>
    <r>
      <rPr>
        <sz val="9"/>
        <rFont val="맑은 고딕"/>
        <family val="0"/>
        <charset val="1"/>
      </rPr>
      <t xml:space="preserve">W-3-4-1 </t>
    </r>
    <r>
      <rPr>
        <sz val="9"/>
        <rFont val="WenQuanYi Zen Hei"/>
        <family val="2"/>
      </rPr>
      <t xml:space="preserve">친구들에게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숙제 기한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공공시설 이용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전달하는 글을 쓴다</t>
    </r>
    <r>
      <rPr>
        <sz val="9"/>
        <rFont val="맑은 고딕"/>
        <family val="0"/>
        <charset val="1"/>
      </rPr>
      <t xml:space="preserve">.
W-3-4-2 </t>
    </r>
    <r>
      <rPr>
        <sz val="9"/>
        <rFont val="WenQuanYi Zen Hei"/>
        <family val="2"/>
      </rPr>
      <t xml:space="preserve">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공익 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메세지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게시판 안내글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</si>
  <si>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숙제 기한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공공시설 이용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공익 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메세지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게시판 안내글
② 친구들에게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숙제 기한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공공시설 이용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전달하는 글을 쓴다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공익 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메세지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게시판 안내글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W-3-4-1·W-3-4-2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</si>
  <si>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</si>
  <si>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-13</t>
    </r>
  </si>
  <si>
    <t xml:space="preserve">주제를 정해 글을 써요</t>
  </si>
  <si>
    <r>
      <rPr>
        <sz val="9"/>
        <rFont val="WenQuanYi Zen Hei"/>
        <family val="2"/>
      </rPr>
      <t xml:space="preserve">주제를 정하여 글을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</si>
  <si>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주제를 정하여 글을 쓸 수 있다</t>
    </r>
    <r>
      <rPr>
        <sz val="9"/>
        <rFont val="맑은 고딕"/>
        <family val="0"/>
        <charset val="1"/>
      </rPr>
      <t xml:space="preserve">.</t>
    </r>
  </si>
  <si>
    <t xml:space="preserve">W-4-1-1, W-4-1-2</t>
  </si>
  <si>
    <r>
      <rPr>
        <sz val="9"/>
        <rFont val="맑은 고딕"/>
        <family val="0"/>
        <charset val="1"/>
      </rPr>
      <t xml:space="preserve">W-4-1-1 </t>
    </r>
    <r>
      <rPr>
        <sz val="9"/>
        <rFont val="WenQuanYi Zen Hei"/>
        <family val="2"/>
      </rPr>
      <t xml:space="preserve">제시한 여러 큰 범주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인공지능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중 하나를 선택하여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구체적인 소주제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로봇의 발전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정해서 글을 쓴다</t>
    </r>
    <r>
      <rPr>
        <sz val="9"/>
        <rFont val="맑은 고딕"/>
        <family val="0"/>
        <charset val="1"/>
      </rPr>
      <t xml:space="preserve">.
W-4-1-2 </t>
    </r>
    <r>
      <rPr>
        <sz val="9"/>
        <rFont val="WenQuanYi Zen Hei"/>
        <family val="2"/>
      </rPr>
      <t xml:space="preserve">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로봇의 발전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언어 예절 지키기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벗어나지 않고 처음부터 끝까지 관련 있는 내용으로 문단들을 구성한다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</si>
  <si>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인공지능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로봇의 발전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언어 예절 지키기
② 제시한 여러 큰 범주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인공지능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중 하나를 선택하여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구체적인 소주제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로봇의 발전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정해…
③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로봇의 발전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언어 예절 지키기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벗어나지 않고 처음부터 끝까지 관련 있…
④ 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W-4-1-1·W-4-1-2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</si>
  <si>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-14</t>
    </r>
  </si>
  <si>
    <t xml:space="preserve">맞춤법과 띄어쓰기를 지켜 써요</t>
  </si>
  <si>
    <r>
      <rPr>
        <sz val="9"/>
        <rFont val="WenQuanYi Zen Hei"/>
        <family val="2"/>
      </rPr>
      <t xml:space="preserve">어법에 맞게 문장을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</si>
  <si>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어법에 맞게 문장을 쓸 수 있다</t>
    </r>
    <r>
      <rPr>
        <sz val="9"/>
        <rFont val="맑은 고딕"/>
        <family val="0"/>
        <charset val="1"/>
      </rPr>
      <t xml:space="preserve">.</t>
    </r>
  </si>
  <si>
    <t xml:space="preserve">W-4-2-1, W-4-2-2, W-4-2-3, W-4-2-4</t>
  </si>
  <si>
    <r>
      <rPr>
        <sz val="9"/>
        <rFont val="맑은 고딕"/>
        <family val="0"/>
        <charset val="1"/>
      </rPr>
      <t xml:space="preserve">W-4-2-1 </t>
    </r>
    <r>
      <rPr>
        <sz val="9"/>
        <rFont val="WenQuanYi Zen Hei"/>
        <family val="2"/>
      </rPr>
      <t xml:space="preserve">자주 틀리는 기본적인 맞춤법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낳다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낫다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않다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가르치다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가리키다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잃다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잊다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맞히다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맞추다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구별한다</t>
    </r>
    <r>
      <rPr>
        <sz val="9"/>
        <rFont val="맑은 고딕"/>
        <family val="0"/>
        <charset val="1"/>
      </rPr>
      <t xml:space="preserve">.
W-4-2-2 </t>
    </r>
    <r>
      <rPr>
        <sz val="9"/>
        <rFont val="WenQuanYi Zen Hei"/>
        <family val="2"/>
      </rPr>
      <t xml:space="preserve">띄어쓰기에 맞게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세 권을 빌렸어요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쓸 수 있다</t>
    </r>
    <r>
      <rPr>
        <sz val="9"/>
        <rFont val="맑은 고딕"/>
        <family val="0"/>
        <charset val="1"/>
      </rPr>
      <t xml:space="preserve">.
W-4-2-3 </t>
    </r>
    <r>
      <rPr>
        <sz val="9"/>
        <rFont val="WenQuanYi Zen Hei"/>
        <family val="2"/>
      </rPr>
      <t xml:space="preserve">주어와 서술어의 호응 관계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바라는 것은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이다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어긋나지 않도록 쓴다</t>
    </r>
    <r>
      <rPr>
        <sz val="9"/>
        <rFont val="맑은 고딕"/>
        <family val="0"/>
        <charset val="1"/>
      </rPr>
      <t xml:space="preserve">.
W-4-2-4 </t>
    </r>
    <r>
      <rPr>
        <sz val="9"/>
        <rFont val="WenQuanYi Zen Hei"/>
        <family val="2"/>
      </rPr>
      <t xml:space="preserve">주어진 문장에서 어법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틀린 부분을 찾아 고쳐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</si>
  <si>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낳다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낫다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않다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가르치다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가리키다
② 자주 틀리는 기본적인 맞춤법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낳다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낫다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않다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가르치다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가리키다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잃다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잊다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맞히다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맞추다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구별한다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띄어쓰기에 맞게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세 권을 빌렸어요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쓸 수 있다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주어와 서술어의 호응 관계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바라는 것은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이다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어긋나지 않도록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</si>
  <si>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틀 채워 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예시 답안 제공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띄어쓰기 표시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고쳐 쓰기</t>
    </r>
  </si>
  <si>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-08,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-05,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-06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</si>
  <si>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-15</t>
    </r>
  </si>
  <si>
    <t xml:space="preserve">근거를 들어 주장하는 글을 써요</t>
  </si>
  <si>
    <r>
      <rPr>
        <sz val="9"/>
        <rFont val="WenQuanYi Zen Hei"/>
        <family val="2"/>
      </rPr>
      <t xml:space="preserve">이유나 근거를 들어 주장하는 글을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</si>
  <si>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이유나 근거를 들어 주장하는 글을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</si>
  <si>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W-4-3-1 </t>
    </r>
    <r>
      <rPr>
        <sz val="9"/>
        <rFont val="WenQuanYi Zen Hei"/>
        <family val="2"/>
      </rPr>
      <t xml:space="preserve">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환경 보호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자신의 입장을 정하고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근거를 덧붙여 글을 작성한다</t>
    </r>
    <r>
      <rPr>
        <sz val="9"/>
        <rFont val="맑은 고딕"/>
        <family val="0"/>
        <charset val="1"/>
      </rPr>
      <t xml:space="preserve">.
W-4-3-2 </t>
    </r>
    <r>
      <rPr>
        <sz val="9"/>
        <rFont val="WenQuanYi Zen Hei"/>
        <family val="2"/>
      </rPr>
      <t xml:space="preserve">주장을 뒷받침하기 위해 신뢰할 수 있는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통계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혹은 객관적인 경험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근거로 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</si>
  <si>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통계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혹은 객관적인 경험
②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환경 보호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자신의 입장을 정하고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근거를 덧붙여 글을 작성한다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주장을 뒷받침하기 위해 신뢰할 수 있는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통계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혹은 객관적인 경험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근거로 든다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 </t>
    </r>
    <r>
      <rPr>
        <sz val="9"/>
        <rFont val="맑은 고딕"/>
        <family val="0"/>
        <charset val="1"/>
      </rPr>
      <t xml:space="preserve">W-4-3-1·W-4-3-2 </t>
    </r>
    <r>
      <rPr>
        <sz val="9"/>
        <rFont val="WenQuanYi Zen Hei"/>
        <family val="2"/>
      </rPr>
      <t xml:space="preserve">섞기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</si>
  <si>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-09, 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-16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</si>
  <si>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5~6-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-16</t>
    </r>
  </si>
  <si>
    <t xml:space="preserve">형식에 맞게 여러 글을 써요</t>
  </si>
  <si>
    <r>
      <rPr>
        <sz val="9"/>
        <rFont val="WenQuanYi Zen Hei"/>
        <family val="2"/>
      </rPr>
      <t xml:space="preserve">일상과 학교생활에서 필요한 여러 유형의 글을 쓸 수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</si>
  <si>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일상과 학교생활에서 필요한 여러 유형의 글을 쓸 수 있다</t>
    </r>
    <r>
      <rPr>
        <sz val="9"/>
        <rFont val="맑은 고딕"/>
        <family val="0"/>
        <charset val="1"/>
      </rPr>
      <t xml:space="preserve">.</t>
    </r>
  </si>
  <si>
    <t xml:space="preserve">W-4-4-1, W-4-4-2, W-4-4-3</t>
  </si>
  <si>
    <r>
      <rPr>
        <sz val="9"/>
        <rFont val="맑은 고딕"/>
        <family val="0"/>
        <charset val="1"/>
      </rPr>
      <t xml:space="preserve">W-4-4-1 </t>
    </r>
    <r>
      <rPr>
        <sz val="9"/>
        <rFont val="WenQuanYi Zen Hei"/>
        <family val="2"/>
      </rPr>
      <t xml:space="preserve">마음을 전하는 글을 형식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받는 사람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첫인사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끝인사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쓴 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맞추어 작성한다</t>
    </r>
    <r>
      <rPr>
        <sz val="9"/>
        <rFont val="맑은 고딕"/>
        <family val="0"/>
        <charset val="1"/>
      </rPr>
      <t xml:space="preserve">.
W-4-4-2 </t>
    </r>
    <r>
      <rPr>
        <sz val="9"/>
        <rFont val="WenQuanYi Zen Hei"/>
        <family val="2"/>
      </rPr>
      <t xml:space="preserve">공식적인 글쓰기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보고서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 안내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선거 연설문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형식과 격식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인사말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본문 서술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맺음말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맞추어 쓴다</t>
    </r>
    <r>
      <rPr>
        <sz val="9"/>
        <rFont val="맑은 고딕"/>
        <family val="0"/>
        <charset val="1"/>
      </rPr>
      <t xml:space="preserve">.
W-4-4-3 </t>
    </r>
    <r>
      <rPr>
        <sz val="9"/>
        <rFont val="WenQuanYi Zen Hei"/>
        <family val="2"/>
      </rPr>
      <t xml:space="preserve">온라인 공간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 홈페이지나 학급 밴드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올릴 게시글을 쓸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매체의 특성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인터넷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 첨부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고려하여 적절한 형식과 언어로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</si>
  <si>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낱말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표현 익히기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받는 사람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첫인사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끝인사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쓴 사람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보고서
② 마음을 전하는 글을 형식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받는 사람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첫인사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끝인사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쓴 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맞추어 작성한다</t>
    </r>
    <r>
      <rPr>
        <sz val="9"/>
        <rFont val="맑은 고딕"/>
        <family val="0"/>
        <charset val="1"/>
      </rPr>
      <t xml:space="preserve">.
③ </t>
    </r>
    <r>
      <rPr>
        <sz val="9"/>
        <rFont val="WenQuanYi Zen Hei"/>
        <family val="2"/>
      </rPr>
      <t xml:space="preserve">공식적인 글쓰기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보고서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 안내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선거 연설문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형식과 격식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인사말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본문 서술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맺음말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맞추어 쓴다</t>
    </r>
    <r>
      <rPr>
        <sz val="9"/>
        <rFont val="맑은 고딕"/>
        <family val="0"/>
        <charset val="1"/>
      </rPr>
      <t xml:space="preserve">.
④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진단형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온라인 공간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 홈페이지나 학급 밴드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올릴 게시글을 쓸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매체의 특성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인터넷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 첨부…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</si>
  <si>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-11, 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-07, </t>
    </r>
    <r>
      <rPr>
        <sz val="9"/>
        <rFont val="WenQuanYi Zen Hei"/>
        <family val="2"/>
      </rPr>
      <t xml:space="preserve">쓰기</t>
    </r>
    <r>
      <rPr>
        <sz val="9"/>
        <rFont val="맑은 고딕"/>
        <family val="0"/>
        <charset val="1"/>
      </rPr>
      <t xml:space="preserve">-12</t>
    </r>
  </si>
  <si>
    <r>
      <rPr>
        <sz val="9"/>
        <color rgb="FF595959"/>
        <rFont val="WenQuanYi Zen Hei"/>
        <family val="2"/>
      </rPr>
      <t xml:space="preserve">※ 우선순위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제안</t>
    </r>
    <r>
      <rPr>
        <sz val="9"/>
        <color rgb="FF595959"/>
        <rFont val="맑은 고딕"/>
        <family val="0"/>
        <charset val="1"/>
      </rPr>
      <t xml:space="preserve">): 1 = 1~2</t>
    </r>
    <r>
      <rPr>
        <sz val="9"/>
        <color rgb="FF595959"/>
        <rFont val="WenQuanYi Zen Hei"/>
        <family val="2"/>
      </rPr>
      <t xml:space="preserve">수준 듣기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말하기</t>
    </r>
    <r>
      <rPr>
        <sz val="9"/>
        <color rgb="FF595959"/>
        <rFont val="맑은 고딕"/>
        <family val="0"/>
        <charset val="1"/>
      </rPr>
      <t xml:space="preserve">, 2 = 1~2</t>
    </r>
    <r>
      <rPr>
        <sz val="9"/>
        <color rgb="FF595959"/>
        <rFont val="WenQuanYi Zen Hei"/>
        <family val="2"/>
      </rPr>
      <t xml:space="preserve">수준 읽기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쓰기</t>
    </r>
    <r>
      <rPr>
        <sz val="9"/>
        <color rgb="FF595959"/>
        <rFont val="맑은 고딕"/>
        <family val="0"/>
        <charset val="1"/>
      </rPr>
      <t xml:space="preserve">, 3 = 3~4</t>
    </r>
    <r>
      <rPr>
        <sz val="9"/>
        <color rgb="FF595959"/>
        <rFont val="WenQuanYi Zen Hei"/>
        <family val="2"/>
      </rPr>
      <t xml:space="preserve">수준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진단을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수준부터 시작하므로 미도달 학생이 많을 것으로 보고 정한 순서입니다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</si>
  <si>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sz val="9"/>
        <color rgb="FF595959"/>
        <rFont val="WenQuanYi Zen Hei"/>
        <family val="2"/>
      </rPr>
      <t xml:space="preserve">※ 차시명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학습 목표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활동 구성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활동 유형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기술 고려는 원고를 바탕으로 만든 초안입니다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활동 구성 ②</t>
    </r>
    <r>
      <rPr>
        <sz val="9"/>
        <color rgb="FF595959"/>
        <rFont val="맑은 고딕"/>
        <family val="0"/>
        <charset val="1"/>
      </rPr>
      <t xml:space="preserve">~④</t>
    </r>
    <r>
      <rPr>
        <sz val="9"/>
        <color rgb="FF595959"/>
        <rFont val="WenQuanYi Zen Hei"/>
        <family val="2"/>
      </rPr>
      <t xml:space="preserve">는 진단 문항 과제를 옮긴 것이므로 실제 발문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보기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정답은 차시별 명세에서 확정해야 합니다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</si>
  <si>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성취수준</t>
  </si>
  <si>
    <t xml:space="preserve">문항</t>
  </si>
  <si>
    <t xml:space="preserve">코드</t>
  </si>
  <si>
    <t xml:space="preserve">체크리스트 문항</t>
  </si>
  <si>
    <r>
      <rPr>
        <b val="true"/>
        <sz val="10"/>
        <color rgb="FFFFFFFF"/>
        <rFont val="WenQuanYi Zen Hei"/>
        <family val="2"/>
      </rPr>
      <t xml:space="preserve">교사 발문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절차</t>
    </r>
  </si>
  <si>
    <t xml:space="preserve">학생 수행</t>
  </si>
  <si>
    <t xml:space="preserve">L-1-1-1</t>
  </si>
  <si>
    <r>
      <rPr>
        <sz val="9"/>
        <rFont val="WenQuanYi Zen Hei"/>
        <family val="2"/>
      </rPr>
      <t xml:space="preserve">교사가 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공책 등의 학용품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</si>
  <si>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공책 등 학용품 그림 카드나 실물을 학생 앞에 늘어놓고</t>
    </r>
    <r>
      <rPr>
        <sz val="9"/>
        <rFont val="맑은 고딕"/>
        <family val="0"/>
        <charset val="1"/>
      </rPr>
      <t xml:space="preserve">) “</t>
    </r>
    <r>
      <rPr>
        <sz val="9"/>
        <rFont val="WenQuanYi Zen Hei"/>
        <family val="2"/>
      </rPr>
      <t xml:space="preserve">연필“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지우개“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공책”이라고 한 단어씩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</si>
  <si>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학용품의 그림이나 실물을 손가락으로 가리키거나 집어 든다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연필 지우개 공책</t>
    </r>
  </si>
  <si>
    <t xml:space="preserve">L-1-1-2</t>
  </si>
  <si>
    <r>
      <rPr>
        <sz val="9"/>
        <rFont val="WenQuanYi Zen Hei"/>
        <family val="2"/>
      </rPr>
      <t xml:space="preserve">교사가 음식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</si>
  <si>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등 음식 그림 카드나 실물 모형을 펼쳐 놓고</t>
    </r>
    <r>
      <rPr>
        <sz val="9"/>
        <rFont val="맑은 고딕"/>
        <family val="0"/>
        <charset val="1"/>
      </rPr>
      <t xml:space="preserve">) “</t>
    </r>
    <r>
      <rPr>
        <sz val="9"/>
        <rFont val="WenQuanYi Zen Hei"/>
        <family val="2"/>
      </rPr>
      <t xml:space="preserve">사과“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포도“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우유“라고 한 단어씩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</si>
  <si>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음식의 그림이나 모형을 손가락으로 가리키거나 집어 든다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사과 포도 우유</t>
    </r>
  </si>
  <si>
    <t xml:space="preserve">L-1-1-3</t>
  </si>
  <si>
    <r>
      <rPr>
        <sz val="9"/>
        <rFont val="WenQuanYi Zen Hei"/>
        <family val="2"/>
      </rPr>
      <t xml:space="preserve">교사가 생활 용품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</si>
  <si>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 등 생활 용품 그림 카드나 실물을 보여 주고</t>
    </r>
    <r>
      <rPr>
        <sz val="9"/>
        <rFont val="맑은 고딕"/>
        <family val="0"/>
        <charset val="1"/>
      </rPr>
      <t xml:space="preserve">) “</t>
    </r>
    <r>
      <rPr>
        <sz val="9"/>
        <rFont val="WenQuanYi Zen Hei"/>
        <family val="2"/>
      </rPr>
      <t xml:space="preserve">모자“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가방“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책상“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의자“라고 한 단어씩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</si>
  <si>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생활 용품의 그림이나 실물을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모자 가방 책상 의자</t>
    </r>
  </si>
  <si>
    <t xml:space="preserve">L-1-2-1</t>
  </si>
  <si>
    <r>
      <rPr>
        <sz val="9"/>
        <rFont val="WenQuanYi Zen Hei"/>
        <family val="2"/>
      </rPr>
      <t xml:space="preserve">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안녕히 계세요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</si>
  <si>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학생을 만났을 때 상황으로 다음 인사말 중 하나를 한다</t>
    </r>
    <r>
      <rPr>
        <sz val="9"/>
        <rFont val="맑은 고딕"/>
        <family val="0"/>
        <charset val="1"/>
      </rPr>
      <t xml:space="preserve">. ① “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?“ ② “</t>
    </r>
    <r>
      <rPr>
        <sz val="9"/>
        <rFont val="WenQuanYi Zen Hei"/>
        <family val="2"/>
      </rPr>
      <t xml:space="preserve">만나서 반가워요</t>
    </r>
    <r>
      <rPr>
        <sz val="9"/>
        <rFont val="맑은 고딕"/>
        <family val="0"/>
        <charset val="1"/>
      </rPr>
      <t xml:space="preserve">.“</t>
    </r>
  </si>
  <si>
    <r>
      <rPr>
        <sz val="9"/>
        <rFont val="WenQuanYi Zen Hei"/>
        <family val="2"/>
      </rPr>
      <t xml:space="preserve">교사의 인사말에 알맞은 인사말로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또는 손을 흔들거나 고개를 숙이는 등 인사말에 어울리는 표정이나 몸짓으로 반응한다</t>
    </r>
    <r>
      <rPr>
        <sz val="9"/>
        <rFont val="맑은 고딕"/>
        <family val="0"/>
        <charset val="1"/>
      </rPr>
      <t xml:space="preserve">.</t>
    </r>
  </si>
  <si>
    <t xml:space="preserve">L-1-2-2</t>
  </si>
  <si>
    <r>
      <rPr>
        <sz val="9"/>
        <rFont val="WenQuanYi Zen Hei"/>
        <family val="2"/>
      </rPr>
      <t xml:space="preserve">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안녕히 가세요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표정이나 몸짓으로 반응한다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</si>
  <si>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학생과 헤어지는 상황에서 다음 인사말 중 하나를 한다</t>
    </r>
    <r>
      <rPr>
        <sz val="9"/>
        <rFont val="맑은 고딕"/>
        <family val="0"/>
        <charset val="1"/>
      </rPr>
      <t xml:space="preserve">. ① “</t>
    </r>
    <r>
      <rPr>
        <sz val="9"/>
        <rFont val="WenQuanYi Zen Hei"/>
        <family val="2"/>
      </rPr>
      <t xml:space="preserve">안녕히 가세요</t>
    </r>
    <r>
      <rPr>
        <sz val="9"/>
        <rFont val="맑은 고딕"/>
        <family val="0"/>
        <charset val="1"/>
      </rPr>
      <t xml:space="preserve">.“ ② “</t>
    </r>
    <r>
      <rPr>
        <sz val="9"/>
        <rFont val="WenQuanYi Zen Hei"/>
        <family val="2"/>
      </rPr>
      <t xml:space="preserve">내일 봐요</t>
    </r>
    <r>
      <rPr>
        <sz val="9"/>
        <rFont val="맑은 고딕"/>
        <family val="0"/>
        <charset val="1"/>
      </rPr>
      <t xml:space="preserve">.“ ③ “</t>
    </r>
    <r>
      <rPr>
        <sz val="9"/>
        <rFont val="WenQuanYi Zen Hei"/>
        <family val="2"/>
      </rPr>
      <t xml:space="preserve">잘 가요</t>
    </r>
    <r>
      <rPr>
        <sz val="9"/>
        <rFont val="맑은 고딕"/>
        <family val="0"/>
        <charset val="1"/>
      </rPr>
      <t xml:space="preserve">.“</t>
    </r>
  </si>
  <si>
    <t xml:space="preserve">L-1-3-1</t>
  </si>
  <si>
    <r>
      <rPr>
        <sz val="9"/>
        <rFont val="WenQuanYi Zen Hei"/>
        <family val="2"/>
      </rPr>
      <t xml:space="preserve">교사의 행동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일어나세요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앉으세요</t>
    </r>
    <r>
      <rPr>
        <sz val="9"/>
        <rFont val="맑은 고딕"/>
        <family val="0"/>
        <charset val="1"/>
      </rPr>
      <t xml:space="preserve">.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</si>
  <si>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행동 지시 중 하나를 한다</t>
    </r>
    <r>
      <rPr>
        <sz val="9"/>
        <rFont val="맑은 고딕"/>
        <family val="0"/>
        <charset val="1"/>
      </rPr>
      <t xml:space="preserve">. ① “</t>
    </r>
    <r>
      <rPr>
        <sz val="9"/>
        <rFont val="WenQuanYi Zen Hei"/>
        <family val="2"/>
      </rPr>
      <t xml:space="preserve">일어나세요</t>
    </r>
    <r>
      <rPr>
        <sz val="9"/>
        <rFont val="맑은 고딕"/>
        <family val="0"/>
        <charset val="1"/>
      </rPr>
      <t xml:space="preserve">.“ ② “</t>
    </r>
    <r>
      <rPr>
        <sz val="9"/>
        <rFont val="WenQuanYi Zen Hei"/>
        <family val="2"/>
      </rPr>
      <t xml:space="preserve">앉으세요</t>
    </r>
    <r>
      <rPr>
        <sz val="9"/>
        <rFont val="맑은 고딕"/>
        <family val="0"/>
        <charset val="1"/>
      </rPr>
      <t xml:space="preserve">.“ ③ “</t>
    </r>
    <r>
      <rPr>
        <sz val="9"/>
        <rFont val="WenQuanYi Zen Hei"/>
        <family val="2"/>
      </rPr>
      <t xml:space="preserve">손을 드세요</t>
    </r>
    <r>
      <rPr>
        <sz val="9"/>
        <rFont val="맑은 고딕"/>
        <family val="0"/>
        <charset val="1"/>
      </rPr>
      <t xml:space="preserve">.“</t>
    </r>
  </si>
  <si>
    <r>
      <rPr>
        <sz val="9"/>
        <rFont val="WenQuanYi Zen Hei"/>
        <family val="2"/>
      </rPr>
      <t xml:space="preserve">교사의 지시를 듣고 해당 행동을 그대로 수행한다</t>
    </r>
    <r>
      <rPr>
        <sz val="9"/>
        <rFont val="맑은 고딕"/>
        <family val="0"/>
        <charset val="1"/>
      </rPr>
      <t xml:space="preserve">.</t>
    </r>
  </si>
  <si>
    <t xml:space="preserve">L-1-3-2</t>
  </si>
  <si>
    <r>
      <rPr>
        <sz val="9"/>
        <rFont val="WenQuanYi Zen Hei"/>
        <family val="2"/>
      </rPr>
      <t xml:space="preserve">교사의 방향을 포함한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오른쪽으로 가세요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교실로 들어가세요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</si>
  <si>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방향 지시 중 하나를 한다</t>
    </r>
    <r>
      <rPr>
        <sz val="9"/>
        <rFont val="맑은 고딕"/>
        <family val="0"/>
        <charset val="1"/>
      </rPr>
      <t xml:space="preserve">. ① “</t>
    </r>
    <r>
      <rPr>
        <sz val="9"/>
        <rFont val="WenQuanYi Zen Hei"/>
        <family val="2"/>
      </rPr>
      <t xml:space="preserve">오른쪽으로 가세요</t>
    </r>
    <r>
      <rPr>
        <sz val="9"/>
        <rFont val="맑은 고딕"/>
        <family val="0"/>
        <charset val="1"/>
      </rPr>
      <t xml:space="preserve">.“ ② “</t>
    </r>
    <r>
      <rPr>
        <sz val="9"/>
        <rFont val="WenQuanYi Zen Hei"/>
        <family val="2"/>
      </rPr>
      <t xml:space="preserve">교실로 들어가세요</t>
    </r>
    <r>
      <rPr>
        <sz val="9"/>
        <rFont val="맑은 고딕"/>
        <family val="0"/>
        <charset val="1"/>
      </rPr>
      <t xml:space="preserve">.“ ③ “</t>
    </r>
    <r>
      <rPr>
        <sz val="9"/>
        <rFont val="WenQuanYi Zen Hei"/>
        <family val="2"/>
      </rPr>
      <t xml:space="preserve">앞으로 나오세요</t>
    </r>
    <r>
      <rPr>
        <sz val="9"/>
        <rFont val="맑은 고딕"/>
        <family val="0"/>
        <charset val="1"/>
      </rPr>
      <t xml:space="preserve">.“</t>
    </r>
  </si>
  <si>
    <r>
      <rPr>
        <sz val="9"/>
        <rFont val="WenQuanYi Zen Hei"/>
        <family val="2"/>
      </rPr>
      <t xml:space="preserve">교사의 지시를 듣고 알맞은 방향으로 이동한다</t>
    </r>
    <r>
      <rPr>
        <sz val="9"/>
        <rFont val="맑은 고딕"/>
        <family val="0"/>
        <charset val="1"/>
      </rPr>
      <t xml:space="preserve">.</t>
    </r>
  </si>
  <si>
    <t xml:space="preserve">L-1-3-3</t>
  </si>
  <si>
    <r>
      <rPr>
        <sz val="9"/>
        <rFont val="WenQuanYi Zen Hei"/>
        <family val="2"/>
      </rPr>
      <t xml:space="preserve">목적어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부사어를 포함한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책을 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이름을 쓰세요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자리에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</si>
  <si>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행동 지시 중 하나를 한다</t>
    </r>
    <r>
      <rPr>
        <sz val="9"/>
        <rFont val="맑은 고딕"/>
        <family val="0"/>
        <charset val="1"/>
      </rPr>
      <t xml:space="preserve">. ① “</t>
    </r>
    <r>
      <rPr>
        <sz val="9"/>
        <rFont val="WenQuanYi Zen Hei"/>
        <family val="2"/>
      </rPr>
      <t xml:space="preserve">책을 펴세요</t>
    </r>
    <r>
      <rPr>
        <sz val="9"/>
        <rFont val="맑은 고딕"/>
        <family val="0"/>
        <charset val="1"/>
      </rPr>
      <t xml:space="preserve">.“ ② “</t>
    </r>
    <r>
      <rPr>
        <sz val="9"/>
        <rFont val="WenQuanYi Zen Hei"/>
        <family val="2"/>
      </rPr>
      <t xml:space="preserve">이름을 쓰세요</t>
    </r>
    <r>
      <rPr>
        <sz val="9"/>
        <rFont val="맑은 고딕"/>
        <family val="0"/>
        <charset val="1"/>
      </rPr>
      <t xml:space="preserve">.“ ③ “</t>
    </r>
    <r>
      <rPr>
        <sz val="9"/>
        <rFont val="WenQuanYi Zen Hei"/>
        <family val="2"/>
      </rPr>
      <t xml:space="preserve">자리에 앉으세요</t>
    </r>
    <r>
      <rPr>
        <sz val="9"/>
        <rFont val="맑은 고딕"/>
        <family val="0"/>
        <charset val="1"/>
      </rPr>
      <t xml:space="preserve">.“</t>
    </r>
  </si>
  <si>
    <r>
      <rPr>
        <sz val="9"/>
        <rFont val="WenQuanYi Zen Hei"/>
        <family val="2"/>
      </rPr>
      <t xml:space="preserve">교사의 지시를 듣고 책을 펴거나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이름을 쓰거나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자리에 앉는 등 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</si>
  <si>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모음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모음을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</si>
  <si>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모음 카드 여러 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학생 앞에 늘어놓고 “아“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야“처럼 모음 하나를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</si>
  <si>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모음 카드를 손가락으로 가리키거나 집어 든다</t>
    </r>
    <r>
      <rPr>
        <sz val="9"/>
        <rFont val="맑은 고딕"/>
        <family val="0"/>
        <charset val="1"/>
      </rPr>
      <t xml:space="preserve">.</t>
    </r>
  </si>
  <si>
    <t xml:space="preserve">L-1-4-2</t>
  </si>
  <si>
    <r>
      <rPr>
        <sz val="9"/>
        <rFont val="WenQuanYi Zen Hei"/>
        <family val="2"/>
      </rPr>
      <t xml:space="preserve">교사가 자음의 음가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드</t>
    </r>
    <r>
      <rPr>
        <sz val="9"/>
        <rFont val="맑은 고딕"/>
        <family val="0"/>
        <charset val="1"/>
      </rPr>
      <t xml:space="preserve">,</t>
    </r>
    <r>
      <rPr>
        <sz val="9"/>
        <rFont val="WenQuanYi Zen Hei"/>
        <family val="2"/>
      </rPr>
      <t xml:space="preserve">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말하면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자음을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</si>
  <si>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자음 카드 여러 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ㄷ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ㄹ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ㅂ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학생 앞에 늘어놓고 “드“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르“처럼 자음 음가 하나를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</si>
  <si>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자음 카드를 손가락으로 가리키거나 집어 든다</t>
    </r>
    <r>
      <rPr>
        <sz val="9"/>
        <rFont val="맑은 고딕"/>
        <family val="0"/>
        <charset val="1"/>
      </rPr>
      <t xml:space="preserve">.</t>
    </r>
  </si>
  <si>
    <t xml:space="preserve">L-2-1-1</t>
  </si>
  <si>
    <r>
      <rPr>
        <sz val="9"/>
        <rFont val="WenQuanYi Zen Hei"/>
        <family val="2"/>
      </rPr>
      <t xml:space="preserve">도움을 요청하는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 주세요</t>
    </r>
    <r>
      <rPr>
        <sz val="9"/>
        <rFont val="맑은 고딕"/>
        <family val="0"/>
        <charset val="1"/>
      </rPr>
      <t xml:space="preserve">./ </t>
    </r>
    <r>
      <rPr>
        <sz val="9"/>
        <rFont val="WenQuanYi Zen Hei"/>
        <family val="2"/>
      </rPr>
      <t xml:space="preserve">여기 있어요</t>
    </r>
    <r>
      <rPr>
        <sz val="9"/>
        <rFont val="맑은 고딕"/>
        <family val="0"/>
        <charset val="1"/>
      </rPr>
      <t xml:space="preserve">.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지금 어떤 도움이 필요하니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적절한 답을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</si>
  <si>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도움을 요청하는 짧은 대화를 학생에게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남자아이와 여자아이가 서로 한 마디씩 말을 주고받는 상황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남자아이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가위 주세요</t>
    </r>
    <r>
      <rPr>
        <sz val="9"/>
        <rFont val="맑은 고딕"/>
        <family val="0"/>
        <charset val="1"/>
      </rPr>
      <t xml:space="preserve">. (2</t>
    </r>
    <r>
      <rPr>
        <sz val="9"/>
        <rFont val="WenQuanYi Zen Hei"/>
        <family val="2"/>
      </rPr>
      <t xml:space="preserve">초 간격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여자아이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여기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지금 어떤 도움이 필요해요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</si>
  <si>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가위 주세요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지우개 주세요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도움이 필요한 내용을 한 문장으로 답한다</t>
    </r>
    <r>
      <rPr>
        <sz val="9"/>
        <rFont val="맑은 고딕"/>
        <family val="0"/>
        <charset val="1"/>
      </rPr>
      <t xml:space="preserve">.</t>
    </r>
  </si>
  <si>
    <t xml:space="preserve">L-2-1-2</t>
  </si>
  <si>
    <r>
      <rPr>
        <sz val="9"/>
        <rFont val="WenQuanYi Zen Hei"/>
        <family val="2"/>
      </rPr>
      <t xml:space="preserve">정보를 묻는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몇 학년 몇 반이에요</t>
    </r>
    <r>
      <rPr>
        <sz val="9"/>
        <rFont val="맑은 고딕"/>
        <family val="0"/>
        <charset val="1"/>
      </rPr>
      <t xml:space="preserve">? /1</t>
    </r>
    <r>
      <rPr>
        <sz val="9"/>
        <rFont val="WenQuanYi Zen Hei"/>
        <family val="2"/>
      </rPr>
      <t xml:space="preserve">학년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반이에요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안내된 정보를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</si>
  <si>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묻는 짧은 대화를 학생에게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남자아이와 여자아이가 서로 한 마디씩 말을 주고받는 상황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남자아이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몇 학년 몇 반이에요</t>
    </r>
    <r>
      <rPr>
        <sz val="9"/>
        <rFont val="맑은 고딕"/>
        <family val="0"/>
        <charset val="1"/>
      </rPr>
      <t xml:space="preserve">? (2</t>
    </r>
    <r>
      <rPr>
        <sz val="9"/>
        <rFont val="WenQuanYi Zen Hei"/>
        <family val="2"/>
      </rPr>
      <t xml:space="preserve">초 간격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여자아이</t>
    </r>
    <r>
      <rPr>
        <sz val="9"/>
        <rFont val="맑은 고딕"/>
        <family val="0"/>
        <charset val="1"/>
      </rPr>
      <t xml:space="preserve">: 1</t>
    </r>
    <r>
      <rPr>
        <sz val="9"/>
        <rFont val="WenQuanYi Zen Hei"/>
        <family val="2"/>
      </rPr>
      <t xml:space="preserve">학년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반이에요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남자아이와 여자아이가 서로 한 마디씩 말을 주고받는 상황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남자아이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어느 나라에서 왔어요</t>
    </r>
    <r>
      <rPr>
        <sz val="9"/>
        <rFont val="맑은 고딕"/>
        <family val="0"/>
        <charset val="1"/>
      </rPr>
      <t xml:space="preserve">? (2</t>
    </r>
    <r>
      <rPr>
        <sz val="9"/>
        <rFont val="WenQuanYi Zen Hei"/>
        <family val="2"/>
      </rPr>
      <t xml:space="preserve">초 간격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여자아이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중국이요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이어서 보기 그림이나 숫자 카드를 보여 주고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몇 학년 몇 반이에요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어느 나라에서 왔어요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</si>
  <si>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대화에서 들은 학년과 반 정보를 보기에서 골라 가리키거나 답한다</t>
    </r>
    <r>
      <rPr>
        <sz val="9"/>
        <rFont val="맑은 고딕"/>
        <family val="0"/>
        <charset val="1"/>
      </rPr>
      <t xml:space="preserve">.</t>
    </r>
  </si>
  <si>
    <t xml:space="preserve">L-2-1-3</t>
  </si>
  <si>
    <r>
      <rPr>
        <sz val="9"/>
        <rFont val="WenQuanYi Zen Hei"/>
        <family val="2"/>
      </rPr>
      <t xml:space="preserve">감정을 나타내는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기분이 어때요</t>
    </r>
    <r>
      <rPr>
        <sz val="9"/>
        <rFont val="맑은 고딕"/>
        <family val="0"/>
        <charset val="1"/>
      </rPr>
      <t xml:space="preserve">? /</t>
    </r>
    <r>
      <rPr>
        <sz val="9"/>
        <rFont val="WenQuanYi Zen Hei"/>
        <family val="2"/>
      </rPr>
      <t xml:space="preserve">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감정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</si>
  <si>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감정을 나타내는 짧은 대화를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기분이 어때요</t>
    </r>
    <r>
      <rPr>
        <sz val="9"/>
        <rFont val="맑은 고딕"/>
        <family val="0"/>
        <charset val="1"/>
      </rPr>
      <t xml:space="preserve">?" - "</t>
    </r>
    <r>
      <rPr>
        <sz val="9"/>
        <rFont val="WenQuanYi Zen Hei"/>
        <family val="2"/>
      </rPr>
      <t xml:space="preserve">좋아요</t>
    </r>
    <r>
      <rPr>
        <sz val="9"/>
        <rFont val="맑은 고딕"/>
        <family val="0"/>
        <charset val="1"/>
      </rPr>
      <t xml:space="preserve">." / "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." / "</t>
    </r>
    <r>
      <rPr>
        <sz val="9"/>
        <rFont val="WenQuanYi Zen Hei"/>
        <family val="2"/>
      </rPr>
      <t xml:space="preserve">슬퍼요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감정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웃는 얼굴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우는 얼굴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화난 얼굴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</si>
  <si>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대화에서 들은 감정에 맞는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웃는 얼굴 우는 얼굴 화난 얼굴 놀란 얼굴</t>
    </r>
  </si>
  <si>
    <r>
      <rPr>
        <sz val="9"/>
        <rFont val="WenQuanYi Zen Hei"/>
        <family val="2"/>
      </rPr>
      <t xml:space="preserve">교사의 수업 안내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짝과 말해 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줄을 그으세요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</si>
  <si>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수업 안내 문장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책 </t>
    </r>
    <r>
      <rPr>
        <sz val="9"/>
        <rFont val="맑은 고딕"/>
        <family val="0"/>
        <charset val="1"/>
      </rPr>
      <t xml:space="preserve">12</t>
    </r>
    <r>
      <rPr>
        <sz val="9"/>
        <rFont val="WenQuanYi Zen Hei"/>
        <family val="2"/>
      </rPr>
      <t xml:space="preserve">쪽을 펴세요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줄을 그으세요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도화지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꺼내세요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</si>
  <si>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교사의 안내를 듣고 해당 행동을 수행한다</t>
    </r>
    <r>
      <rPr>
        <sz val="9"/>
        <rFont val="맑은 고딕"/>
        <family val="0"/>
        <charset val="1"/>
      </rPr>
      <t xml:space="preserve">.</t>
    </r>
  </si>
  <si>
    <t xml:space="preserve">L-2-3-1</t>
  </si>
  <si>
    <r>
      <rPr>
        <sz val="9"/>
        <rFont val="WenQuanYi Zen Hei"/>
        <family val="2"/>
      </rPr>
      <t xml:space="preserve">교실 사물의 위치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 옆에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사물을 손가락으로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</si>
  <si>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교실 사물의 위치를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창문 옆에 있어요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책상 위에 있어요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의자 아래에 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</si>
  <si>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교사가 말한 위치에 있는 사물을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의자 아래에 놓여 있는 책 책상 위에 놓여 있는 지우개 사물함 옆에 놓여 있는 청소기</t>
    </r>
  </si>
  <si>
    <t xml:space="preserve">L-2-3-2</t>
  </si>
  <si>
    <r>
      <rPr>
        <sz val="9"/>
        <rFont val="WenQuanYi Zen Hei"/>
        <family val="2"/>
      </rPr>
      <t xml:space="preserve">사물의 색깔이나 크기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빨간 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큰 공책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맞는 사물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</si>
  <si>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색깔이나 크기가 다른 사물 그림 카드를 보여 주고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빨간 가방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큰 공책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짧은 연필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색깔이나 크기를 포함한 말을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</si>
  <si>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색깔이나 크기에 맞는 사물 그림을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빨간 가방 큰 공책 짧은 연필</t>
    </r>
  </si>
  <si>
    <t xml:space="preserve">L-2-4-1</t>
  </si>
  <si>
    <r>
      <rPr>
        <sz val="9"/>
        <rFont val="WenQuanYi Zen Hei"/>
        <family val="2"/>
      </rPr>
      <t xml:space="preserve">교사가 천천히 말한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보건실은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층에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문장과 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</si>
  <si>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(3~4</t>
    </r>
    <r>
      <rPr>
        <sz val="9"/>
        <rFont val="WenQuanYi Zen Hei"/>
        <family val="2"/>
      </rPr>
      <t xml:space="preserve">장의 그림 카드를 학생 앞에 놓고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다음 문장 중 하나를 천천히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보건실은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층에 있어요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운동장에서 친구들이 놀아요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선생님이 칠판에 글씨를 써요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</si>
  <si>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교사가 말한 문장과 맞는 그림을 손가락으로 가리킨다</t>
    </r>
    <r>
      <rPr>
        <sz val="9"/>
        <rFont val="맑은 고딕"/>
        <family val="0"/>
        <charset val="1"/>
      </rPr>
      <t xml:space="preserve">.</t>
    </r>
  </si>
  <si>
    <t xml:space="preserve">L-2-4-2</t>
  </si>
  <si>
    <r>
      <rPr>
        <sz val="9"/>
        <rFont val="WenQuanYi Zen Hei"/>
        <family val="2"/>
      </rPr>
      <t xml:space="preserve">교사가 천천히 말한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지우개가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해당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</si>
  <si>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 등을 책상 위에 놓고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다음 질문 중 하나를 천천히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지우개가 어디에 있어요</t>
    </r>
    <r>
      <rPr>
        <sz val="9"/>
        <rFont val="맑은 고딕"/>
        <family val="0"/>
        <charset val="1"/>
      </rPr>
      <t xml:space="preserve">?" ② "</t>
    </r>
    <r>
      <rPr>
        <sz val="9"/>
        <rFont val="WenQuanYi Zen Hei"/>
        <family val="2"/>
      </rPr>
      <t xml:space="preserve">연필이 어디에 있어요</t>
    </r>
    <r>
      <rPr>
        <sz val="9"/>
        <rFont val="맑은 고딕"/>
        <family val="0"/>
        <charset val="1"/>
      </rPr>
      <t xml:space="preserve">?" ③ "</t>
    </r>
    <r>
      <rPr>
        <sz val="9"/>
        <rFont val="WenQuanYi Zen Hei"/>
        <family val="2"/>
      </rPr>
      <t xml:space="preserve">책이 어디에 있어요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</si>
  <si>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WenQuanYi Zen Hei"/>
        <family val="2"/>
      </rPr>
      <t xml:space="preserve">교사가 말한 사물을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지우개 연필 책</t>
    </r>
  </si>
  <si>
    <t xml:space="preserve">L-2-4-3</t>
  </si>
  <si>
    <r>
      <rPr>
        <sz val="9"/>
        <rFont val="WenQuanYi Zen Hei"/>
        <family val="2"/>
      </rPr>
      <t xml:space="preserve">교사가 천천히 말한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 줄로 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</si>
  <si>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지시 중 하나를 천천히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한 줄로 서세요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두 명씩 짝을 지으세요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조용히 앉으세요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</si>
  <si>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교사의 지시를 듣고 해당 행동을 수행한다</t>
    </r>
    <r>
      <rPr>
        <sz val="9"/>
        <rFont val="맑은 고딕"/>
        <family val="0"/>
        <charset val="1"/>
      </rPr>
      <t xml:space="preserve">.</t>
    </r>
  </si>
  <si>
    <t xml:space="preserve">L-3-1-1</t>
  </si>
  <si>
    <r>
      <rPr>
        <sz val="9"/>
        <rFont val="WenQuanYi Zen Hei"/>
        <family val="2"/>
      </rPr>
      <t xml:space="preserve">좋아하는 놀이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술래잡기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하고 싶어 하는 놀이를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</si>
  <si>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좋아하는 놀이에 관한 짧은 대화를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오늘은 공놀이를 하고 싶어요</t>
    </r>
    <r>
      <rPr>
        <sz val="9"/>
        <rFont val="맑은 고딕"/>
        <family val="0"/>
        <charset val="1"/>
      </rPr>
      <t xml:space="preserve">." / "</t>
    </r>
    <r>
      <rPr>
        <sz val="9"/>
        <rFont val="WenQuanYi Zen Hei"/>
        <family val="2"/>
      </rPr>
      <t xml:space="preserve">저는 줄넘기가 좋아요</t>
    </r>
    <r>
      <rPr>
        <sz val="9"/>
        <rFont val="맑은 고딕"/>
        <family val="0"/>
        <charset val="1"/>
      </rPr>
      <t xml:space="preserve">." / "</t>
    </r>
    <r>
      <rPr>
        <sz val="9"/>
        <rFont val="WenQuanYi Zen Hei"/>
        <family val="2"/>
      </rPr>
      <t xml:space="preserve">술래잡기 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이어서 놀이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술래잡기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</si>
  <si>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 속 사람이 하고 싶어 하는 놀이의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공놀이 줄넘기 술래잡기 ※ 각 단어에 해당하는 놀이 등을 알아볼 수 있는 단순한 그림 카드 형태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흰색 배경에 한 가지 놀이 상황만 또렷이 그림</t>
    </r>
    <r>
      <rPr>
        <sz val="9"/>
        <rFont val="맑은 고딕"/>
        <family val="0"/>
        <charset val="1"/>
      </rPr>
      <t xml:space="preserve">.</t>
    </r>
  </si>
  <si>
    <t xml:space="preserve">L-3-1-2</t>
  </si>
  <si>
    <r>
      <rPr>
        <sz val="9"/>
        <rFont val="WenQuanYi Zen Hei"/>
        <family val="2"/>
      </rPr>
      <t xml:space="preserve">좋아하는 음식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떡볶이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불고기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먹고 싶어 하는 음식을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</si>
  <si>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좋아하는 음식에 관한 짧은 대화를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저는 김밥이 좋아요</t>
    </r>
    <r>
      <rPr>
        <sz val="9"/>
        <rFont val="맑은 고딕"/>
        <family val="0"/>
        <charset val="1"/>
      </rPr>
      <t xml:space="preserve">." / "</t>
    </r>
    <r>
      <rPr>
        <sz val="9"/>
        <rFont val="WenQuanYi Zen Hei"/>
        <family val="2"/>
      </rPr>
      <t xml:space="preserve">오늘은 떡볶이가 먹고 싶어요</t>
    </r>
    <r>
      <rPr>
        <sz val="9"/>
        <rFont val="맑은 고딕"/>
        <family val="0"/>
        <charset val="1"/>
      </rPr>
      <t xml:space="preserve">." / "</t>
    </r>
    <r>
      <rPr>
        <sz val="9"/>
        <rFont val="WenQuanYi Zen Hei"/>
        <family val="2"/>
      </rPr>
      <t xml:space="preserve">불고기를 좋아해요</t>
    </r>
    <r>
      <rPr>
        <sz val="9"/>
        <rFont val="맑은 고딕"/>
        <family val="0"/>
        <charset val="1"/>
      </rPr>
      <t xml:space="preserve">.“ </t>
    </r>
    <r>
      <rPr>
        <sz val="9"/>
        <rFont val="WenQuanYi Zen Hei"/>
        <family val="2"/>
      </rPr>
      <t xml:space="preserve">이어서 음식 그림 카드를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</si>
  <si>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 속 사람이 먹고 싶어 하는 음식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김밥 떡볶이 불고기</t>
    </r>
  </si>
  <si>
    <t xml:space="preserve">L-3-1-3</t>
  </si>
  <si>
    <r>
      <rPr>
        <sz val="9"/>
        <rFont val="WenQuanYi Zen Hei"/>
        <family val="2"/>
      </rPr>
      <t xml:space="preserve">좋아하는 물건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장난감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갖고 싶어 하는 물건을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</si>
  <si>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좋아하는 물건에 관한 짧은 대화를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 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남자아이와 여자아이가 서로 한 마디씩 말을 주고받는 상황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여자아이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무엇을 좋아해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남자아이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나는 인형을 좋아해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남자아이와 여자아이가 서로 한 마디씩 말을 주고받는 상황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여자아이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무엇을 좋아해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남자아이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나는 장난감을 좋아해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이어서 물건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장난감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</si>
  <si>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 속 사람이 좋아 하는 물건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인형 장난감</t>
    </r>
  </si>
  <si>
    <t xml:space="preserve">L-3-2-1</t>
  </si>
  <si>
    <r>
      <rPr>
        <sz val="9"/>
        <rFont val="WenQuanYi Zen Hei"/>
        <family val="2"/>
      </rPr>
      <t xml:space="preserve">겪은 일에 관한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관련된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</si>
  <si>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일에 관한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주말에 한 일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토요일에 가족과 공원에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자전거를 타고 김밥을 먹었어요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주말에 한 일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일요일에 친구와 학교 운동장에서 만났어요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같이 축구를 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3 - </t>
    </r>
    <r>
      <rPr>
        <sz val="9"/>
        <rFont val="WenQuanYi Zen Hei"/>
        <family val="2"/>
      </rPr>
      <t xml:space="preserve">어제 한 일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어제 집에서 책을 읽었어요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동생과 그림도 그렸어요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 그림 카드를 보여 주며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어디에 갔어요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</si>
  <si>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이야기에 나온 장소 그림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공원 학교 집</t>
    </r>
  </si>
  <si>
    <t xml:space="preserve">L-3-2-2</t>
  </si>
  <si>
    <r>
      <rPr>
        <sz val="9"/>
        <rFont val="WenQuanYi Zen Hei"/>
        <family val="2"/>
      </rPr>
      <t xml:space="preserve">겪은 일의 순서가 담긴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여행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이야기 순서대로 배열한다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</si>
  <si>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장소가 차례로 바뀌는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가족 여행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토요일 아침에 집에서 출발했어요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먼저 공원에서 자전거를 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그다음에 운동장에서 친구를 만났어요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하루일과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집에서 아침을 먹었어요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그리고 학교에 가서 공부했어요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학교가 끝나고 공원에 갔어요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3 - </t>
    </r>
    <r>
      <rPr>
        <sz val="9"/>
        <rFont val="WenQuanYi Zen Hei"/>
        <family val="2"/>
      </rPr>
      <t xml:space="preserve">휴일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일요일에 집에서 책을 읽었어요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점심에 친구와 공원에서 만났어요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저녁에 다시 집에 왔어요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장소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학생 앞에 흩어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</si>
  <si>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 속 장소를 순서대로 손가락으로 짚거나 카드를 한 줄로 배열한다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 공원 학교 집</t>
    </r>
  </si>
  <si>
    <t xml:space="preserve">L-3-2-3</t>
  </si>
  <si>
    <r>
      <rPr>
        <sz val="9"/>
        <rFont val="WenQuanYi Zen Hei"/>
        <family val="2"/>
      </rPr>
      <t xml:space="preserve">겪은 일에 관한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일치하는 내용을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</si>
  <si>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일에 관한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저는 어제 가족들과 캠핑을 다녀왔어요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바다 옆에 있는 캠핑장이었어요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바다도 보고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맛있는 음식도 먹었어요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상황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가족들과 동물원에 가는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바다 옆에서 캠핑하는 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친구와 도서관에 가는 그림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</si>
  <si>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 속 사람이 말한 상황의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캠핑 친구와 도서관에 가는 그림 가족들과 동물원에 가는 상황</t>
    </r>
  </si>
  <si>
    <t xml:space="preserve">L-3-3-1</t>
  </si>
  <si>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한 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이야기 속 인물과 행동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걸었다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뛰었다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</si>
  <si>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인물과 행동이 담긴 그림을 보여 준 뒤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방학에 한 일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민수는 방학에 바닷가에서 모래를 가지고 놀았어요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형과 아빠는 바다에서 수영을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엄마는 의자에 앉아서 책을 읽었어요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학생 앞에는 인물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민수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아빠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엄마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행동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모래놀이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수영하기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 읽기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</si>
  <si>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이야기를 듣고 각 인물과 그 인물이 한 행동을 짝지어 선으로 잇거나 카드로 연결한다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 형 아빠 엄마 모래놀이 수영하기 책 읽기</t>
    </r>
  </si>
  <si>
    <t xml:space="preserve">L-3-3-2</t>
  </si>
  <si>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 동안 한 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 동안 무엇을 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답을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</si>
  <si>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보며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민지는 방학에 바닷가에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모래로 성을 만들고 친구와 놀았어요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민지는 어디에 갔어요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무엇을 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</si>
  <si>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바닷가요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모래로 성을 만들었어요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들은 내용에서 핵심 정보를 짧게 답하거나 들은 내용에 맞는 카드를 손으로 가리키도록 한다</t>
    </r>
    <r>
      <rPr>
        <sz val="9"/>
        <rFont val="맑은 고딕"/>
        <family val="0"/>
        <charset val="1"/>
      </rPr>
      <t xml:space="preserve">.</t>
    </r>
  </si>
  <si>
    <t xml:space="preserve">L-3-4-1</t>
  </si>
  <si>
    <r>
      <rPr>
        <sz val="9"/>
        <rFont val="WenQuanYi Zen Hei"/>
        <family val="2"/>
      </rPr>
      <t xml:space="preserve">교사의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명절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중심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명절 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음식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</si>
  <si>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세 가지 설명 중 하나를 학생에게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설명 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명절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설날에는 가족이 모두 모여요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떡국을 먹고 어른들께 세배를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어른들은 아이들에게 세뱃돈을 주세요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설명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학교 운동회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다음 주에 운동회가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학생들은 청팀과 백팀으로 나누어요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운동장에서 달리기를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설명 </t>
    </r>
    <r>
      <rPr>
        <sz val="9"/>
        <rFont val="맑은 고딕"/>
        <family val="0"/>
        <charset val="1"/>
      </rPr>
      <t xml:space="preserve">3 - </t>
    </r>
    <r>
      <rPr>
        <sz val="9"/>
        <rFont val="WenQuanYi Zen Hei"/>
        <family val="2"/>
      </rPr>
      <t xml:space="preserve">가을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가을이 되면 나뭇잎이 빨갛고 노랗게 변해요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날씨가 시원해요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사람들은 단풍을 보러 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무엇에 대한 이야기예요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</si>
  <si>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명절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떡국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운동회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달리기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가을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단풍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설명의 중심 낱말로 답하거나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명절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떡국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운동회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달리기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가을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단풍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에 해당하는 그림 카드를 선택한다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명절 풍경 운동회 가을 풍경</t>
    </r>
  </si>
  <si>
    <t xml:space="preserve">L-3-4-2</t>
  </si>
  <si>
    <r>
      <rPr>
        <sz val="9"/>
        <rFont val="WenQuanYi Zen Hei"/>
        <family val="2"/>
      </rPr>
      <t xml:space="preserve">교사의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 체험 학습 준비물 안내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중심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 중 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도시락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</si>
  <si>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학교에서 자주 들을 수 있는 짧은 안내 중 하나를 학생에게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안내 </t>
    </r>
    <r>
      <rPr>
        <sz val="9"/>
        <rFont val="맑은 고딕"/>
        <family val="0"/>
        <charset val="1"/>
      </rPr>
      <t xml:space="preserve">1 – </t>
    </r>
    <r>
      <rPr>
        <sz val="9"/>
        <rFont val="WenQuanYi Zen Hei"/>
        <family val="2"/>
      </rPr>
      <t xml:space="preserve">현장 체험 학습 준비물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내일은 현장 체험 학습 가는 날이에요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모자와 도시락을 꼭 가져오세요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그리고 편한 신발을 신으세요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안내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비 오는 날 안내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오늘 오후에 비가 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 갈 때 우산을 꼭 가지고 가세요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비를 맞으면 감기에 걸려요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안내 </t>
    </r>
    <r>
      <rPr>
        <sz val="9"/>
        <rFont val="맑은 고딕"/>
        <family val="0"/>
        <charset val="1"/>
      </rPr>
      <t xml:space="preserve">3 - </t>
    </r>
    <r>
      <rPr>
        <sz val="9"/>
        <rFont val="WenQuanYi Zen Hei"/>
        <family val="2"/>
      </rPr>
      <t xml:space="preserve">내일 수업 준비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교시는 국어 시간이에요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국어책과 공책을 가지고 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연필도 잊지 마세요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현장 체험 학습 때 무엇을 가지고 와요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또는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집에 갈 때 무엇을 가지고 가야 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</si>
  <si>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도시락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우산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등으로 간단히 답하거나 안내에서 들은 물건의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도시락 모자 우산 국어책 공책 연필</t>
    </r>
  </si>
  <si>
    <t xml:space="preserve">L-4-1-1</t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</si>
  <si>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이야기의 주제를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</si>
  <si>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이야기 중 하나를 학생에게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가족 소개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우리 가족은 네 명이에요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엄마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그리고 저예요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우리는 주말에 같이 공원에 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방과후 활동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학교가 끝나면 방과후 활동을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그림 그리기 방과후 활동을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제 친구는 태권도 방과후 활동을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3 - </t>
    </r>
    <r>
      <rPr>
        <sz val="9"/>
        <rFont val="WenQuanYi Zen Hei"/>
        <family val="2"/>
      </rPr>
      <t xml:space="preserve">장래희망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제 꿈은 의사예요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아픈 사람을 도와주고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그래서 학교에서 과학 공부를 열심히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이야기는 무엇에 대한 이야기예요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</si>
  <si>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가족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장래희망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 간단하게 이야기의 주제를 답하거나 들은 내용에 맞는 카드를 손으로 가리키도록 한다</t>
    </r>
    <r>
      <rPr>
        <sz val="9"/>
        <rFont val="맑은 고딕"/>
        <family val="0"/>
        <charset val="1"/>
      </rPr>
      <t xml:space="preserve">.</t>
    </r>
  </si>
  <si>
    <t xml:space="preserve">L-4-1-2</t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</si>
  <si>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</si>
  <si>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이야기 중 하나를 학생에게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가족 소개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우리 가족은 네 명이에요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엄마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그리고 저예요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아빠는 회사에 다니세요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형은 저보다 두 살 많아요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방과후 활동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학교가 끝나면 학원에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월요일에는 태권도를 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목요일에는 피아노를 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3 - </t>
    </r>
    <r>
      <rPr>
        <sz val="9"/>
        <rFont val="WenQuanYi Zen Hei"/>
        <family val="2"/>
      </rPr>
      <t xml:space="preserve">장래희망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제 꿈은 의사예요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아픈 사람을 도와주고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그래서 과학 공부를 열심히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가족이 몇 명이에요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월요일에 무엇을 배워요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꿈이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사실을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</si>
  <si>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"4</t>
    </r>
    <r>
      <rPr>
        <sz val="9"/>
        <rFont val="WenQuanYi Zen Hei"/>
        <family val="2"/>
      </rPr>
      <t xml:space="preserve">명이에요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태권도를 배워요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의사예요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등과 같이 간단하게 답하거나 들은 내용에 맞는 카드를 손으로 가리키도록 한다</t>
    </r>
    <r>
      <rPr>
        <sz val="9"/>
        <rFont val="맑은 고딕"/>
        <family val="0"/>
        <charset val="1"/>
      </rPr>
      <t xml:space="preserve">.</t>
    </r>
  </si>
  <si>
    <t xml:space="preserve">L-4-2-1</t>
  </si>
  <si>
    <r>
      <rPr>
        <sz val="9"/>
        <rFont val="WenQuanYi Zen Hei"/>
        <family val="2"/>
      </rPr>
      <t xml:space="preserve">안내 방송이나 교사의 알림</t>
    </r>
    <r>
      <rPr>
        <sz val="9"/>
        <rFont val="맑은 고딕"/>
        <family val="0"/>
        <charset val="1"/>
      </rPr>
      <t xml:space="preserve">(2</t>
    </r>
    <r>
      <rPr>
        <sz val="9"/>
        <rFont val="WenQuanYi Zen Hei"/>
        <family val="2"/>
      </rPr>
      <t xml:space="preserve">시에 도서관으로 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시간이나 장소를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</si>
  <si>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짧은 안내 중 하나를 학생에게 들려준다</t>
    </r>
    <r>
      <rPr>
        <sz val="9"/>
        <rFont val="맑은 고딕"/>
        <family val="0"/>
        <charset val="1"/>
      </rPr>
      <t xml:space="preserve">. ① "2</t>
    </r>
    <r>
      <rPr>
        <sz val="9"/>
        <rFont val="WenQuanYi Zen Hei"/>
        <family val="2"/>
      </rPr>
      <t xml:space="preserve">시에 도서관으로 오세요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교시는 체육관에서 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점심시간에 강당으로 모이세요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도서관은 언제 가요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교시는 어디로 가요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점심시간에 어디로 모여요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</si>
  <si>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"2</t>
    </r>
    <r>
      <rPr>
        <sz val="9"/>
        <rFont val="WenQuanYi Zen Hei"/>
        <family val="2"/>
      </rPr>
      <t xml:space="preserve">시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도서관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등으로 간단하게 답하거나 보기에서 알맞은 그림 카드를 고른다</t>
    </r>
    <r>
      <rPr>
        <sz val="9"/>
        <rFont val="맑은 고딕"/>
        <family val="0"/>
        <charset val="1"/>
      </rPr>
      <t xml:space="preserve">.</t>
    </r>
  </si>
  <si>
    <t xml:space="preserve">L-4-2-2</t>
  </si>
  <si>
    <r>
      <rPr>
        <sz val="9"/>
        <rFont val="WenQuanYi Zen Hei"/>
        <family val="2"/>
      </rPr>
      <t xml:space="preserve">준비물을 안내하는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물감을 들고 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준비해야 할 물건을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</si>
  <si>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짧은 준비물 안내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내일 미술 시간에는 물감을 들고 오세요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체육 시간에는 줄넘기를 가지고 오세요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수학 시간에는 자와 연필을 준비하세요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 카드 여러 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색종이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</si>
  <si>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안내에서 들은 준비물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물감 줄넘기 자 물통 색종이 운동화</t>
    </r>
  </si>
  <si>
    <t xml:space="preserve">L-4-2-3</t>
  </si>
  <si>
    <r>
      <rPr>
        <sz val="9"/>
        <rFont val="WenQuanYi Zen Hei"/>
        <family val="2"/>
      </rPr>
      <t xml:space="preserve">학교 행사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 대회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그에 관한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</si>
  <si>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행사 안내를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안내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체육 대회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다음 주 수요일에 체육 대회가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아침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시에 운동장에서 시작해요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달리기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줄다리기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응원을 할 거예요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언제 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어디에서 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무엇을 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</si>
  <si>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수요일</t>
    </r>
    <r>
      <rPr>
        <sz val="9"/>
        <rFont val="맑은 고딕"/>
        <family val="0"/>
        <charset val="1"/>
      </rPr>
      <t xml:space="preserve">", "9</t>
    </r>
    <r>
      <rPr>
        <sz val="9"/>
        <rFont val="WenQuanYi Zen Hei"/>
        <family val="2"/>
      </rPr>
      <t xml:space="preserve">시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운동장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달리기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줄다리기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들은 내용에서 시간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활동을 짧게 답하거나 들은 내용에 맞는 카드를 손으로 가리키도록 한다</t>
    </r>
    <r>
      <rPr>
        <sz val="9"/>
        <rFont val="맑은 고딕"/>
        <family val="0"/>
        <charset val="1"/>
      </rPr>
      <t xml:space="preserve">.</t>
    </r>
  </si>
  <si>
    <t xml:space="preserve">L-4-3-1</t>
  </si>
  <si>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발표자가 소개한 대상을 보기에서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</si>
  <si>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발표를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내가 좋아하는 음식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김밥을 좋아해요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김밥 안에 단무지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시금치가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엄마가 만들어 주세요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내가 좋아하는 운동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축구를 좋아해요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친구들과 운동장에서 같이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3 - </t>
    </r>
    <r>
      <rPr>
        <sz val="9"/>
        <rFont val="WenQuanYi Zen Hei"/>
        <family val="2"/>
      </rPr>
      <t xml:space="preserve">내가 좋아하는 사람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할머니를 좋아해요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할머니는 맛있는 음식을 많이 만들어 주세요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보기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음식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사람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발표의 내용과 알맞은 것은 무엇일까요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</si>
  <si>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발표자가 소개한 대상의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음식 운동 사람</t>
    </r>
  </si>
  <si>
    <t xml:space="preserve">L-4-3-2</t>
  </si>
  <si>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 내용과 맞는 그림을 모두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</si>
  <si>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발표를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내가 좋아하는 음식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김밥을 좋아해요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김밥 안에 단무지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시금치가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엄마가 만들어 주세요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보기 그림 여러 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떡볶이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단무지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시금치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엄마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발표의 내용과 맞는 것은 무엇일까요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</si>
  <si>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발표 내용에 나온 그림을 모두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김밥 떡볶이 엄마</t>
    </r>
  </si>
  <si>
    <t xml:space="preserve">L-4-3-3</t>
  </si>
  <si>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좋아하는 음식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들은 내용에 대한 사실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</si>
  <si>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발표를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내가 좋아하는 운동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축구를 좋아해요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친구들과 운동장에서 같이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일주일에 두 번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무엇에 관한 이야기예요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어디에서 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일주일에 몇 번 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</si>
  <si>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축구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운동장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두 번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들은 내용에 대한 사실 질문에 짧게 답하거나 들은 내용에 맞는 카드를 손으로 가리키도록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</si>
  <si>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교사의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씨앗 심기 과정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일의 순서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흙 담기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씨앗 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 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</si>
  <si>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짧은 설명 중 하나를 학생에게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설명 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씨앗 심기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먼저 화분에 흙을 담아요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 다음에 씨앗을 흙 속에 넣어요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마지막으로 물을 줘요</t>
    </r>
    <r>
      <rPr>
        <sz val="9"/>
        <rFont val="맑은 고딕"/>
        <family val="0"/>
        <charset val="1"/>
      </rPr>
      <t xml:space="preserve">." [</t>
    </r>
    <r>
      <rPr>
        <sz val="9"/>
        <rFont val="WenQuanYi Zen Hei"/>
        <family val="2"/>
      </rPr>
      <t xml:space="preserve">설명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라면 끓이기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먼저 냄비에 물을 넣어요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물이 끓으면 면과 수프를 넣고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분간 끓여요</t>
    </r>
    <r>
      <rPr>
        <sz val="9"/>
        <rFont val="맑은 고딕"/>
        <family val="0"/>
        <charset val="1"/>
      </rPr>
      <t xml:space="preserve">." [</t>
    </r>
    <r>
      <rPr>
        <sz val="9"/>
        <rFont val="WenQuanYi Zen Hei"/>
        <family val="2"/>
      </rPr>
      <t xml:space="preserve">설명 </t>
    </r>
    <r>
      <rPr>
        <sz val="9"/>
        <rFont val="맑은 고딕"/>
        <family val="0"/>
        <charset val="1"/>
      </rPr>
      <t xml:space="preserve">3 - </t>
    </r>
    <r>
      <rPr>
        <sz val="9"/>
        <rFont val="WenQuanYi Zen Hei"/>
        <family val="2"/>
      </rPr>
      <t xml:space="preserve">손 씻기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먼저 손에 물을 묻혀요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다음에 비누로 깨끗하게 씻어요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마지막으로 수건으로 닦아요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 카드 세 장을 흩어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</si>
  <si>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설명을 듣고 일의 순서대로 그림 카드를 한 줄로 배열한다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또는 교사가 묻고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답하게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들은 내용을 순서대로 말해보세요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냄비에 물을 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물이 끓으면 면과 수프를 넣고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분간 끓여요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와 같이 알아 들을 수 있게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물 끓이기 면과 스프 넣기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분간 끓이기 화분에 흙 담기 씨앗을 흙 속에 넣기 화분에 물 주기</t>
    </r>
  </si>
  <si>
    <t xml:space="preserve">L-4-4-2</t>
  </si>
  <si>
    <r>
      <rPr>
        <sz val="9"/>
        <rFont val="WenQuanYi Zen Hei"/>
        <family val="2"/>
      </rPr>
      <t xml:space="preserve">교사의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 체험 학습 주의 사항 안내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</si>
  <si>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짧은 설명 중 하나를 학생에게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설명 </t>
    </r>
    <r>
      <rPr>
        <sz val="9"/>
        <rFont val="맑은 고딕"/>
        <family val="0"/>
        <charset val="1"/>
      </rPr>
      <t xml:space="preserve">1 - </t>
    </r>
    <r>
      <rPr>
        <sz val="9"/>
        <rFont val="WenQuanYi Zen Hei"/>
        <family val="2"/>
      </rPr>
      <t xml:space="preserve">장소 예절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박물관 관람 예절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박물관에 들어가면 먼저 조용히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그다음에 전시물을 눈으로만 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마지막으로 박물관 안에서는 음식을 먹으면 안 돼요</t>
    </r>
    <r>
      <rPr>
        <sz val="9"/>
        <rFont val="맑은 고딕"/>
        <family val="0"/>
        <charset val="1"/>
      </rPr>
      <t xml:space="preserve">." [</t>
    </r>
    <r>
      <rPr>
        <sz val="9"/>
        <rFont val="WenQuanYi Zen Hei"/>
        <family val="2"/>
      </rPr>
      <t xml:space="preserve">그림 카드 구성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카드 ①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입에 손가락을 대고 조용히 하는 아이 카드 ②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전시물 앞에서 손을 뒤로 모으고 바라보는 아이 카드 ③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물을 마시며 전시물을 보는 아이 설명 </t>
    </r>
    <r>
      <rPr>
        <sz val="9"/>
        <rFont val="맑은 고딕"/>
        <family val="0"/>
        <charset val="1"/>
      </rPr>
      <t xml:space="preserve">2 - </t>
    </r>
    <r>
      <rPr>
        <sz val="9"/>
        <rFont val="WenQuanYi Zen Hei"/>
        <family val="2"/>
      </rPr>
      <t xml:space="preserve">공원 안전 수칙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공원에 도착하면 먼저 선생님 옆에 모여요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그다음에 뛰지 않고 천천히 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마지막으로 쉬는 곳에서 짝꿍 옆에 앉아요</t>
    </r>
    <r>
      <rPr>
        <sz val="9"/>
        <rFont val="맑은 고딕"/>
        <family val="0"/>
        <charset val="1"/>
      </rPr>
      <t xml:space="preserve">." [</t>
    </r>
    <r>
      <rPr>
        <sz val="9"/>
        <rFont val="WenQuanYi Zen Hei"/>
        <family val="2"/>
      </rPr>
      <t xml:space="preserve">그림 카드 구성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카드 ①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아이들이 선생님 주위에 모여 있는 장면 카드 ②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아이가 공원에서 혼자 뛰어다니는 장면 카드 ③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아이들이 짝꿍 옆에 나란히 앉아 있는 장면 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다음 중 하면 안되는 행동을 하는 친구는 누구일까요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</si>
  <si>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설명과 맞는 그림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또는 그림카드 없이 설명을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질문에 알맞게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박물관에서는 어떻게 해야 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학생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조용히 해야 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전시물은 눈으로만 봐야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등으로 답한다</t>
    </r>
    <r>
      <rPr>
        <sz val="9"/>
        <rFont val="맑은 고딕"/>
        <family val="0"/>
        <charset val="1"/>
      </rPr>
      <t xml:space="preserve">.</t>
    </r>
  </si>
  <si>
    <t xml:space="preserve">S-1-1-1</t>
  </si>
  <si>
    <r>
      <rPr>
        <sz val="9"/>
        <rFont val="WenQuanYi Zen Hei"/>
        <family val="2"/>
      </rPr>
      <t xml:space="preserve">교사가 가리키는 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이름을 한 단어로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</si>
  <si>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교실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창문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이게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</si>
  <si>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칠판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한 단어로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책상 의자 칠판</t>
    </r>
  </si>
  <si>
    <t xml:space="preserve">S-1-1-2</t>
  </si>
  <si>
    <r>
      <rPr>
        <sz val="9"/>
        <rFont val="WenQuanYi Zen Hei"/>
        <family val="2"/>
      </rPr>
      <t xml:space="preserve">그림 카드를 보고 동물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고양이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</si>
  <si>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 그림 카드를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이게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</si>
  <si>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고양이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강아지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호랑이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새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등 한 단어로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고양이 강아지 호랑이 사자 코끼리 기린</t>
    </r>
  </si>
  <si>
    <t xml:space="preserve">S-1-1-3</t>
  </si>
  <si>
    <r>
      <rPr>
        <sz val="9"/>
        <rFont val="WenQuanYi Zen Hei"/>
        <family val="2"/>
      </rPr>
      <t xml:space="preserve">자신이 가진 물건의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</si>
  <si>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사물 그림 카드를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이게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</si>
  <si>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필통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 한 단어로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진단 자료 연필 지우개 필통 가방</t>
    </r>
  </si>
  <si>
    <t xml:space="preserve">S-1-2-1</t>
  </si>
  <si>
    <r>
      <rPr>
        <sz val="9"/>
        <rFont val="WenQuanYi Zen Hei"/>
        <family val="2"/>
      </rPr>
      <t xml:space="preserve">친구와 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</si>
  <si>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친구끼리 인사하는 그림카드를 보여주며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친구가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!", "</t>
    </r>
    <r>
      <rPr>
        <sz val="9"/>
        <rFont val="WenQuanYi Zen Hei"/>
        <family val="2"/>
      </rPr>
      <t xml:space="preserve">잘 가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인사하면 뭐라고 답해야 할까요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</si>
  <si>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!", "</t>
    </r>
    <r>
      <rPr>
        <sz val="9"/>
        <rFont val="WenQuanYi Zen Hei"/>
        <family val="2"/>
      </rPr>
      <t xml:space="preserve">잘 가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친구에게 어울리는 인사말을 한다</t>
    </r>
    <r>
      <rPr>
        <sz val="9"/>
        <rFont val="맑은 고딕"/>
        <family val="0"/>
        <charset val="1"/>
      </rPr>
      <t xml:space="preserve">.</t>
    </r>
  </si>
  <si>
    <t xml:space="preserve">S-1-2-2</t>
  </si>
  <si>
    <r>
      <rPr>
        <sz val="9"/>
        <rFont val="WenQuanYi Zen Hei"/>
        <family val="2"/>
      </rPr>
      <t xml:space="preserve">어른과 만나고 헤어질 때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</si>
  <si>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잘가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라고 말하면 뭐라고 답해야할까요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</si>
  <si>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어른에게 어울리게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높임말로 인사한다</t>
    </r>
    <r>
      <rPr>
        <sz val="9"/>
        <rFont val="맑은 고딕"/>
        <family val="0"/>
        <charset val="1"/>
      </rPr>
      <t xml:space="preserve">.</t>
    </r>
  </si>
  <si>
    <t xml:space="preserve">S-1-3-1</t>
  </si>
  <si>
    <r>
      <rPr>
        <sz val="9"/>
        <rFont val="WenQuanYi Zen Hei"/>
        <family val="2"/>
      </rPr>
      <t xml:space="preserve">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이름이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○○예요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</si>
  <si>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이름이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</si>
  <si>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○○○이에요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제 이름은 ○○○입니다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자기 이름을 말한다</t>
    </r>
    <r>
      <rPr>
        <sz val="9"/>
        <rFont val="맑은 고딕"/>
        <family val="0"/>
        <charset val="1"/>
      </rPr>
      <t xml:space="preserve">.</t>
    </r>
  </si>
  <si>
    <t xml:space="preserve">S-1-3-2</t>
  </si>
  <si>
    <r>
      <rPr>
        <sz val="9"/>
        <rFont val="WenQuanYi Zen Hei"/>
        <family val="2"/>
      </rPr>
      <t xml:space="preserve">나이를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몇 살이예요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숫자나 짧은 문장</t>
    </r>
    <r>
      <rPr>
        <sz val="9"/>
        <rFont val="맑은 고딕"/>
        <family val="0"/>
        <charset val="1"/>
      </rPr>
      <t xml:space="preserve">(8, </t>
    </r>
    <r>
      <rPr>
        <sz val="9"/>
        <rFont val="WenQuanYi Zen Hei"/>
        <family val="2"/>
      </rPr>
      <t xml:space="preserve">여덟 살이에요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</si>
  <si>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몇 살이에요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</si>
  <si>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여덟 살이에요</t>
    </r>
    <r>
      <rPr>
        <sz val="9"/>
        <rFont val="맑은 고딕"/>
        <family val="0"/>
        <charset val="1"/>
      </rPr>
      <t xml:space="preserve">.", "8</t>
    </r>
    <r>
      <rPr>
        <sz val="9"/>
        <rFont val="WenQuanYi Zen Hei"/>
        <family val="2"/>
      </rPr>
      <t xml:space="preserve">살이에요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숫자나 짧은 문장으로 답한다</t>
    </r>
    <r>
      <rPr>
        <sz val="9"/>
        <rFont val="맑은 고딕"/>
        <family val="0"/>
        <charset val="1"/>
      </rPr>
      <t xml:space="preserve">.</t>
    </r>
  </si>
  <si>
    <t xml:space="preserve">S-1-3-3</t>
  </si>
  <si>
    <r>
      <rPr>
        <sz val="9"/>
        <rFont val="WenQuanYi Zen Hei"/>
        <family val="2"/>
      </rPr>
      <t xml:space="preserve">물건의 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에 한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</si>
  <si>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사물 하나를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이건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</si>
  <si>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필통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사물 이름을 한 단어로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연필 지우개 필통 의자</t>
    </r>
  </si>
  <si>
    <t xml:space="preserve">S-1-4-1</t>
  </si>
  <si>
    <r>
      <rPr>
        <sz val="9"/>
        <rFont val="WenQuanYi Zen Hei"/>
        <family val="2"/>
      </rPr>
      <t xml:space="preserve">활동 중 필요한 것이 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휴지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말하여 요구한다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</si>
  <si>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그림을 그리는 상황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필요한 게 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</si>
  <si>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휴지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색연필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필요한 물건의 이름을 짧게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그림을 그리는 상황</t>
    </r>
  </si>
  <si>
    <t xml:space="preserve">S-1-4-2</t>
  </si>
  <si>
    <r>
      <rPr>
        <sz val="9"/>
        <rFont val="WenQuanYi Zen Hei"/>
        <family val="2"/>
      </rPr>
      <t xml:space="preserve">하고 싶은 활동을 한 단어나 짧은 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</si>
  <si>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자유 시간에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지금 뭐 하고 싶어요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</si>
  <si>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놀자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축구하자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그림 그릴래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하고 싶은 활동을 한 단어나 짧은 구로 말한다</t>
    </r>
    <r>
      <rPr>
        <sz val="9"/>
        <rFont val="맑은 고딕"/>
        <family val="0"/>
        <charset val="1"/>
      </rPr>
      <t xml:space="preserve">.</t>
    </r>
  </si>
  <si>
    <t xml:space="preserve">S-1-4-3</t>
  </si>
  <si>
    <r>
      <rPr>
        <sz val="9"/>
        <rFont val="WenQuanYi Zen Hei"/>
        <family val="2"/>
      </rPr>
      <t xml:space="preserve">싫거나 어려운 상황에서 거절이나 도움 요청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</si>
  <si>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학생이 어려워하거나 싫어하는 상황을 만들고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어떻게 표현할지 물어본다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</si>
  <si>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어려워요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거절이나 도움 요청 표현을 한 문장으로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문제를 풀기 어려워하는 상황</t>
    </r>
  </si>
  <si>
    <t xml:space="preserve">S-1-5-1</t>
  </si>
  <si>
    <r>
      <rPr>
        <sz val="9"/>
        <rFont val="WenQuanYi Zen Hei"/>
        <family val="2"/>
      </rPr>
      <t xml:space="preserve">발음이 서툴러도 한음절씩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</si>
  <si>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학생이 어려운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을 말해야 하는 상황을 만든다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</si>
  <si>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발음이 서툴러도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현∙장∙체∙험∙학∙습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한 음절씩 천천히 또박또박 말한다</t>
    </r>
    <r>
      <rPr>
        <sz val="9"/>
        <rFont val="맑은 고딕"/>
        <family val="0"/>
        <charset val="1"/>
      </rPr>
      <t xml:space="preserve">.</t>
    </r>
  </si>
  <si>
    <t xml:space="preserve">S-1-5-2</t>
  </si>
  <si>
    <r>
      <rPr>
        <sz val="9"/>
        <rFont val="WenQuanYi Zen Hei"/>
        <family val="2"/>
      </rPr>
      <t xml:space="preserve">상대가 알아듣지 못했을 때 같은 말을 다시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</si>
  <si>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못 알아들은 척하며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다시 한번 말해 줄래요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</si>
  <si>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같은 말을 더 천천히 한 음절씩 다시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안∙녕∙하∙세∙요</t>
    </r>
    <r>
      <rPr>
        <sz val="9"/>
        <rFont val="맑은 고딕"/>
        <family val="0"/>
        <charset val="1"/>
      </rPr>
      <t xml:space="preserve">." / "</t>
    </r>
    <r>
      <rPr>
        <sz val="9"/>
        <rFont val="WenQuanYi Zen Hei"/>
        <family val="2"/>
      </rPr>
      <t xml:space="preserve">보∙건∙실 가∙도∙ 돼∙요</t>
    </r>
    <r>
      <rPr>
        <sz val="9"/>
        <rFont val="맑은 고딕"/>
        <family val="0"/>
        <charset val="1"/>
      </rPr>
      <t xml:space="preserve">?"</t>
    </r>
  </si>
  <si>
    <t xml:space="preserve">S-2-1-1</t>
  </si>
  <si>
    <r>
      <rPr>
        <sz val="9"/>
        <rFont val="WenQuanYi Zen Hei"/>
        <family val="2"/>
      </rPr>
      <t xml:space="preserve">수업 중 학생이 물건이 없어 곤란해할 때 어떻게 말할지 물어본다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</si>
  <si>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연필 주세요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지우개 주세요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가위 빌려줄 수 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필요한 물건을 정중히 요청하는 문장을 말한다</t>
    </r>
    <r>
      <rPr>
        <sz val="9"/>
        <rFont val="맑은 고딕"/>
        <family val="0"/>
        <charset val="1"/>
      </rPr>
      <t xml:space="preserve">.</t>
    </r>
  </si>
  <si>
    <t xml:space="preserve">S-2-1-2</t>
  </si>
  <si>
    <r>
      <rPr>
        <sz val="9"/>
        <rFont val="WenQuanYi Zen Hei"/>
        <family val="2"/>
      </rPr>
      <t xml:space="preserve">교실 활동에서 허락을 구하는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화장실 가도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</si>
  <si>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중 학생이 화장실에 가야 하는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자리를 옮겨야 할 때 어떻게 말할지 물어본다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</si>
  <si>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화장실 가도 돼요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앞으로 나가도 돼요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허락을 구하는 문장을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화장실에 가도 되는지 질문하는 상황</t>
    </r>
  </si>
  <si>
    <t xml:space="preserve">S-2-1-3</t>
  </si>
  <si>
    <r>
      <rPr>
        <sz val="9"/>
        <rFont val="WenQuanYi Zen Hei"/>
        <family val="2"/>
      </rPr>
      <t xml:space="preserve">문제가 생겼을 때 교사에게 상황을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공책이 없어요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</si>
  <si>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연필이 부러져 당황해하는 그림 카드를 제시한다</t>
    </r>
    <r>
      <rPr>
        <sz val="9"/>
        <rFont val="맑은 고딕"/>
        <family val="0"/>
        <charset val="1"/>
      </rPr>
      <t xml:space="preserve">.) "</t>
    </r>
    <r>
      <rPr>
        <sz val="9"/>
        <rFont val="WenQuanYi Zen Hei"/>
        <family val="2"/>
      </rPr>
      <t xml:space="preserve">이럴 때 어떻게 말해요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</si>
  <si>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연필이 부러졌어요</t>
    </r>
    <r>
      <rPr>
        <sz val="9"/>
        <rFont val="맑은 고딕"/>
        <family val="0"/>
        <charset val="1"/>
      </rPr>
      <t xml:space="preserve">." / "</t>
    </r>
    <r>
      <rPr>
        <sz val="9"/>
        <rFont val="WenQuanYi Zen Hei"/>
        <family val="2"/>
      </rPr>
      <t xml:space="preserve">연필 주세요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 연필이 부러져 당황하는 모습 공책을 가져오지 않아 당황하는 모습</t>
    </r>
  </si>
  <si>
    <t xml:space="preserve">S-2-2-1</t>
  </si>
  <si>
    <r>
      <rPr>
        <sz val="9"/>
        <rFont val="WenQuanYi Zen Hei"/>
        <family val="2"/>
      </rPr>
      <t xml:space="preserve">오늘의 날씨를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 날씨는 어때요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흐려요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맑아요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</si>
  <si>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오늘 날씨는 어때요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</si>
  <si>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맑아요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흐려요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비가 와요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오늘 날씨를 짧은 문장으로 답한다</t>
    </r>
    <r>
      <rPr>
        <sz val="9"/>
        <rFont val="맑은 고딕"/>
        <family val="0"/>
        <charset val="1"/>
      </rPr>
      <t xml:space="preserve">.</t>
    </r>
  </si>
  <si>
    <t xml:space="preserve">S-2-2-2</t>
  </si>
  <si>
    <r>
      <rPr>
        <sz val="9"/>
        <rFont val="WenQuanYi Zen Hei"/>
        <family val="2"/>
      </rPr>
      <t xml:space="preserve">좋아하는 것을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운동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과일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음식을 좋아해요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대상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축구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김밥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넣어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</si>
  <si>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어떤 운동을 좋아해요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어떤 과일을 좋아해요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어떤 음식을 좋아해요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중 하나를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</si>
  <si>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축구를 좋아해요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사과를 좋아해요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김밥을 좋아해요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대상 이름을 넣어 한 문장으로 답한다</t>
    </r>
    <r>
      <rPr>
        <sz val="9"/>
        <rFont val="맑은 고딕"/>
        <family val="0"/>
        <charset val="1"/>
      </rPr>
      <t xml:space="preserve">.</t>
    </r>
  </si>
  <si>
    <t xml:space="preserve">S-2-2-3</t>
  </si>
  <si>
    <r>
      <rPr>
        <sz val="9"/>
        <rFont val="WenQuanYi Zen Hei"/>
        <family val="2"/>
      </rPr>
      <t xml:space="preserve">어디에 사는지 또는 어디에서 왔는지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어디에 살아요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</si>
  <si>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어디에 살아요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어디에서 왔어요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</si>
  <si>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서울에 살아요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베트남에서 왔어요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사는 곳이나 출신을 짧게 답한다</t>
    </r>
    <r>
      <rPr>
        <sz val="9"/>
        <rFont val="맑은 고딕"/>
        <family val="0"/>
        <charset val="1"/>
      </rPr>
      <t xml:space="preserve">.</t>
    </r>
  </si>
  <si>
    <t xml:space="preserve">S-2-3-1</t>
  </si>
  <si>
    <r>
      <rPr>
        <sz val="9"/>
        <rFont val="WenQuanYi Zen Hei"/>
        <family val="2"/>
      </rPr>
      <t xml:space="preserve">활동 방법을 모를 때 방법을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어떻게 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</si>
  <si>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활동 방법을 모를 때 어떻게 말할지 묻거나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친구가 묻는 상황을 가정한다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어른이 질문하는 상황</t>
    </r>
    <r>
      <rPr>
        <sz val="9"/>
        <rFont val="맑은 고딕"/>
        <family val="0"/>
        <charset val="1"/>
      </rPr>
      <t xml:space="preserve">): </t>
    </r>
    <r>
      <rPr>
        <sz val="9"/>
        <rFont val="WenQuanYi Zen Hei"/>
        <family val="2"/>
      </rPr>
      <t xml:space="preserve">이 색종이를 붙이는 방법을 모르면 어떤 질문을 해야 할까요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예시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친구가 질문하는 상황</t>
    </r>
    <r>
      <rPr>
        <sz val="9"/>
        <rFont val="맑은 고딕"/>
        <family val="0"/>
        <charset val="1"/>
      </rPr>
      <t xml:space="preserve">): </t>
    </r>
    <r>
      <rPr>
        <sz val="9"/>
        <rFont val="WenQuanYi Zen Hei"/>
        <family val="2"/>
      </rPr>
      <t xml:space="preserve">이 색종이를 어떻게 붙여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</si>
  <si>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“어떻게 붙여야 해요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라고 방법을 묻는 질문을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어른에게 대답하는 상황</t>
    </r>
    <r>
      <rPr>
        <sz val="9"/>
        <rFont val="맑은 고딕"/>
        <family val="0"/>
        <charset val="1"/>
      </rPr>
      <t xml:space="preserve">): “</t>
    </r>
    <r>
      <rPr>
        <sz val="9"/>
        <rFont val="WenQuanYi Zen Hei"/>
        <family val="2"/>
      </rPr>
      <t xml:space="preserve">테이프로 붙여요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풀로 붙여요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방법을 짧게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친구에게 대답하는 상황</t>
    </r>
    <r>
      <rPr>
        <sz val="9"/>
        <rFont val="맑은 고딕"/>
        <family val="0"/>
        <charset val="1"/>
      </rPr>
      <t xml:space="preserve">): “</t>
    </r>
    <r>
      <rPr>
        <sz val="9"/>
        <rFont val="WenQuanYi Zen Hei"/>
        <family val="2"/>
      </rPr>
      <t xml:space="preserve">가위로 잘라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풀로 붙여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방법을 짧게 답한다</t>
    </r>
    <r>
      <rPr>
        <sz val="9"/>
        <rFont val="맑은 고딕"/>
        <family val="0"/>
        <charset val="1"/>
      </rPr>
      <t xml:space="preserve">.</t>
    </r>
  </si>
  <si>
    <t xml:space="preserve">S-2-3-2</t>
  </si>
  <si>
    <r>
      <rPr>
        <sz val="9"/>
        <rFont val="WenQuanYi Zen Hei"/>
        <family val="2"/>
      </rPr>
      <t xml:space="preserve">수업 준비물의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색연필 어디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</si>
  <si>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수업 준비물을 미리 꺼내 두고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학생이 색연필이나 지우개를 찾는 상황을 만든다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</si>
  <si>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색연필 어디 있어요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지우개 어디에 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위치를 묻는 질문을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책상 위 의자 아래 상자 안 사물함 옆</t>
    </r>
  </si>
  <si>
    <t xml:space="preserve">S-2-3-3</t>
  </si>
  <si>
    <r>
      <rPr>
        <sz val="9"/>
        <rFont val="WenQuanYi Zen Hei"/>
        <family val="2"/>
      </rPr>
      <t xml:space="preserve">교실의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보건실이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</si>
  <si>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아이가 복도에서 길을 헤매는 그림 카드를 제시한다</t>
    </r>
    <r>
      <rPr>
        <sz val="9"/>
        <rFont val="맑은 고딕"/>
        <family val="0"/>
        <charset val="1"/>
      </rPr>
      <t xml:space="preserve">.) </t>
    </r>
    <r>
      <rPr>
        <sz val="9"/>
        <rFont val="WenQuanYi Zen Hei"/>
        <family val="2"/>
      </rPr>
      <t xml:space="preserve">여기서 할 수 있는 질문이 무엇이에요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</si>
  <si>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상황카드를 보고</t>
    </r>
    <r>
      <rPr>
        <sz val="9"/>
        <rFont val="맑은 고딕"/>
        <family val="0"/>
        <charset val="1"/>
      </rPr>
      <t xml:space="preserve">)"</t>
    </r>
    <r>
      <rPr>
        <sz val="9"/>
        <rFont val="WenQuanYi Zen Hei"/>
        <family val="2"/>
      </rPr>
      <t xml:space="preserve">보건실이 어디에 있어요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도서관이 어디예요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위치를 묻는 질문을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아이가 복도에서 길을 헤매는 모습</t>
    </r>
  </si>
  <si>
    <t xml:space="preserve">S-2-3-4</t>
  </si>
  <si>
    <r>
      <rPr>
        <sz val="9"/>
        <rFont val="WenQuanYi Zen Hei"/>
        <family val="2"/>
      </rPr>
      <t xml:space="preserve">교사나 친구에게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이게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몇 쪽이에요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</si>
  <si>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지난 시간에 배운 곳부터 복습해 볼까요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책을 펴보세요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</si>
  <si>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몇 쪽이에요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필요한 정보를 묻는 질문을 한다</t>
    </r>
    <r>
      <rPr>
        <sz val="9"/>
        <rFont val="맑은 고딕"/>
        <family val="0"/>
        <charset val="1"/>
      </rPr>
      <t xml:space="preserve">.</t>
    </r>
  </si>
  <si>
    <t xml:space="preserve">S-2-4-1</t>
  </si>
  <si>
    <r>
      <rPr>
        <sz val="9"/>
        <rFont val="WenQuanYi Zen Hei"/>
        <family val="2"/>
      </rPr>
      <t xml:space="preserve">자신의 좋고 싫음을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우유가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</si>
  <si>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무엇을 좋아해요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무엇이 싫어요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</si>
  <si>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우유가 좋아요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저는 당근이 싫어요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좋고 싫음을 한 문장으로 말한다</t>
    </r>
    <r>
      <rPr>
        <sz val="9"/>
        <rFont val="맑은 고딕"/>
        <family val="0"/>
        <charset val="1"/>
      </rPr>
      <t xml:space="preserve">.</t>
    </r>
  </si>
  <si>
    <t xml:space="preserve">S-2-4-2</t>
  </si>
  <si>
    <r>
      <rPr>
        <sz val="9"/>
        <rFont val="WenQuanYi Zen Hei"/>
        <family val="2"/>
      </rPr>
      <t xml:space="preserve">원하는 활동을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공놀이를 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</si>
  <si>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무엇을 하고 싶어요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</si>
  <si>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공놀이를 하고 싶어요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책을 읽고 싶어요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원하는 활동을 한 문장으로 말한다</t>
    </r>
    <r>
      <rPr>
        <sz val="9"/>
        <rFont val="맑은 고딕"/>
        <family val="0"/>
        <charset val="1"/>
      </rPr>
      <t xml:space="preserve">.</t>
    </r>
  </si>
  <si>
    <t xml:space="preserve">S-2-4-3</t>
  </si>
  <si>
    <r>
      <rPr>
        <sz val="9"/>
        <rFont val="WenQuanYi Zen Hei"/>
        <family val="2"/>
      </rPr>
      <t xml:space="preserve">도움이 필요한 상황을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보건실에 가고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</si>
  <si>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학생이 몸이 아프거나 도움이 필요한 상황이 담긴 그림카드를 보여주며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이런 상황에는 뭐라고 말해야 할까요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</si>
  <si>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보건실에 가고 싶어요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선생님이 도와주세요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엄마에게 전화하고 싶어요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도움이 필요한 상황을 한 문장으로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학생이 몸이 아픈 모습 도움이 필요한 상황이 담긴 모습</t>
    </r>
  </si>
  <si>
    <t xml:space="preserve">S-2-5-1</t>
  </si>
  <si>
    <r>
      <rPr>
        <sz val="9"/>
        <rFont val="WenQuanYi Zen Hei"/>
        <family val="2"/>
      </rPr>
      <t xml:space="preserve">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내 가방이예요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말할 때 낱말 사이를 자연스럽게 띄어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</si>
  <si>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이것은 내 가방이에요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이것은 친구 연필이에요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와 같은 문장을 보여주며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이 문장을 자연스럽게 읽어 보세요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</si>
  <si>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내용을 이해할 수 있을 정도의 수준으로</t>
    </r>
    <r>
      <rPr>
        <sz val="9"/>
        <rFont val="맑은 고딕"/>
        <family val="0"/>
        <charset val="1"/>
      </rPr>
      <t xml:space="preserve">)"</t>
    </r>
    <r>
      <rPr>
        <sz val="9"/>
        <rFont val="WenQuanYi Zen Hei"/>
        <family val="2"/>
      </rPr>
      <t xml:space="preserve">이것은 내 가방이에요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이것은 친구 연필이에요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를 소리내어 읽는다</t>
    </r>
    <r>
      <rPr>
        <sz val="9"/>
        <rFont val="맑은 고딕"/>
        <family val="0"/>
        <charset val="1"/>
      </rPr>
      <t xml:space="preserve">.</t>
    </r>
  </si>
  <si>
    <t xml:space="preserve">S-2-5-2</t>
  </si>
  <si>
    <r>
      <rPr>
        <sz val="9"/>
        <rFont val="WenQuanYi Zen Hei"/>
        <family val="2"/>
      </rPr>
      <t xml:space="preserve">상대가 다시 물으면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같은 말을 조금 더 분명한 발음과 속도로 다시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</si>
  <si>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못 알아들은 척하며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방금 뭐라고 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다시 말해 줄래요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</si>
  <si>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같은 말을 조금 더 분명한 발음과 천천히 한 속도로 다시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처음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." → </t>
    </r>
    <r>
      <rPr>
        <sz val="9"/>
        <rFont val="WenQuanYi Zen Hei"/>
        <family val="2"/>
      </rPr>
      <t xml:space="preserve">다시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도∙와∙주∙세∙요</t>
    </r>
    <r>
      <rPr>
        <sz val="9"/>
        <rFont val="맑은 고딕"/>
        <family val="0"/>
        <charset val="1"/>
      </rPr>
      <t xml:space="preserve">."</t>
    </r>
  </si>
  <si>
    <t xml:space="preserve">S-3-1-1</t>
  </si>
  <si>
    <r>
      <rPr>
        <sz val="9"/>
        <rFont val="WenQuanYi Zen Hei"/>
        <family val="2"/>
      </rPr>
      <t xml:space="preserve">좋아하는 놀이와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딱지치기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숨바꼭질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실뜨기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좋아하는 캐릭터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영상 콘텐츠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</si>
  <si>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좋아하는 놀이가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왜 좋아해요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</si>
  <si>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딱지치기를 좋아해요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친구와 같이 할 수 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저는 숨바꼭질이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재미있어요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좋아하는 놀이와 그 이유를 한두 문장으로 말한다</t>
    </r>
    <r>
      <rPr>
        <sz val="9"/>
        <rFont val="맑은 고딕"/>
        <family val="0"/>
        <charset val="1"/>
      </rPr>
      <t xml:space="preserve">.</t>
    </r>
  </si>
  <si>
    <t xml:space="preserve">S-3-1-2</t>
  </si>
  <si>
    <r>
      <rPr>
        <sz val="9"/>
        <rFont val="WenQuanYi Zen Hei"/>
        <family val="2"/>
      </rPr>
      <t xml:space="preserve">좋아하는 음식과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짜장면은 맛있어요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</si>
  <si>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좋아하는 음식이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왜 좋아해요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</si>
  <si>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짜장면을 좋아해요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맛있어요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저는 엄마가 만든 김밥이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제가 좋아하는 재료를 많이 넣어줘요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음식과 이유를 함께 말한다</t>
    </r>
    <r>
      <rPr>
        <sz val="9"/>
        <rFont val="맑은 고딕"/>
        <family val="0"/>
        <charset val="1"/>
      </rPr>
      <t xml:space="preserve">.</t>
    </r>
  </si>
  <si>
    <t xml:space="preserve">S-3-1-3</t>
  </si>
  <si>
    <r>
      <rPr>
        <sz val="9"/>
        <rFont val="WenQuanYi Zen Hei"/>
        <family val="2"/>
      </rPr>
      <t xml:space="preserve">좋아하는 계절과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봄은 따뜻해서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</si>
  <si>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좋아하는 계절이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왜 좋아해요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</si>
  <si>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봄이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따뜻해서 좋아요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여름이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수영할 수 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계절과 이유를 함께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봄 여름 가을 겨울</t>
    </r>
  </si>
  <si>
    <t xml:space="preserve">S-3-2-1</t>
  </si>
  <si>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시간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</si>
  <si>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어제나 주말에 있었던 일을 말해 보세요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혹은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최근에 기억에 남는 일이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언제였어요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</si>
  <si>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어제 친구와 공원에 갔어요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주말에 가족과 영화를 봤어요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오늘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지난주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같은 시간 표현을 사용해 겪은 일을 말한다</t>
    </r>
    <r>
      <rPr>
        <sz val="9"/>
        <rFont val="맑은 고딕"/>
        <family val="0"/>
        <charset val="1"/>
      </rPr>
      <t xml:space="preserve">.</t>
    </r>
  </si>
  <si>
    <t xml:space="preserve">S-3-2-2</t>
  </si>
  <si>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나온 사람이나 장소를 포함해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</si>
  <si>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주말에 누구와 어디에 갔어요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</si>
  <si>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주말에 엄마와 동물원에 갔어요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아빠와 마트에 갔어요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사람과 장소를 넣어 겪은 일을 말한다</t>
    </r>
    <r>
      <rPr>
        <sz val="9"/>
        <rFont val="맑은 고딕"/>
        <family val="0"/>
        <charset val="1"/>
      </rPr>
      <t xml:space="preserve">.</t>
    </r>
  </si>
  <si>
    <t xml:space="preserve">S-3-2-3</t>
  </si>
  <si>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느낌을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</si>
  <si>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그때 기분이 어땠어요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</si>
  <si>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재미있었어요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신났어요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조금 무서웠어요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겪은 일에 대한 자신의 느낌을 한 문장으로 말한다</t>
    </r>
    <r>
      <rPr>
        <sz val="9"/>
        <rFont val="맑은 고딕"/>
        <family val="0"/>
        <charset val="1"/>
      </rPr>
      <t xml:space="preserve">.</t>
    </r>
  </si>
  <si>
    <t xml:space="preserve">S-3-3-1</t>
  </si>
  <si>
    <r>
      <rPr>
        <sz val="9"/>
        <rFont val="WenQuanYi Zen Hei"/>
        <family val="2"/>
      </rPr>
      <t xml:space="preserve">수업 내용 중 모르는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교과 어휘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모양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분리수거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질문한다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</si>
  <si>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중 모르는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모양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가구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분리수거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이 나오면 어떻게 물어볼 거예요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</si>
  <si>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“모양이 뭐예요</t>
    </r>
    <r>
      <rPr>
        <sz val="9"/>
        <rFont val="맑은 고딕"/>
        <family val="0"/>
        <charset val="1"/>
      </rPr>
      <t xml:space="preserve">?”, “</t>
    </r>
    <r>
      <rPr>
        <sz val="9"/>
        <rFont val="WenQuanYi Zen Hei"/>
        <family val="2"/>
      </rPr>
      <t xml:space="preserve">가구가 뭐예요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처럼 모르는 낱말의 뜻을 묻는 질문을 한다</t>
    </r>
    <r>
      <rPr>
        <sz val="9"/>
        <rFont val="맑은 고딕"/>
        <family val="0"/>
        <charset val="1"/>
      </rPr>
      <t xml:space="preserve">.</t>
    </r>
  </si>
  <si>
    <t xml:space="preserve">S-3-3-2</t>
  </si>
  <si>
    <r>
      <rPr>
        <sz val="9"/>
        <rFont val="WenQuanYi Zen Hei"/>
        <family val="2"/>
      </rPr>
      <t xml:space="preserve">교사의 확인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모양이 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수업 내용과 관련된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동그라미 모양이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</si>
  <si>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중 확인 질문을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어떤 모양이 있나요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오늘 배운 색깔은 뭐예요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이것은 무엇으로 만들었어요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</si>
  <si>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동그라미 모양이 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빨간색을 배웠어요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종이로 만들었어요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수업 내용과 관련된 짧은 문장으로 답한다</t>
    </r>
    <r>
      <rPr>
        <sz val="9"/>
        <rFont val="맑은 고딕"/>
        <family val="0"/>
        <charset val="1"/>
      </rPr>
      <t xml:space="preserve">.</t>
    </r>
  </si>
  <si>
    <t xml:space="preserve">S-3-4-1</t>
  </si>
  <si>
    <r>
      <rPr>
        <sz val="9"/>
        <rFont val="WenQuanYi Zen Hei"/>
        <family val="2"/>
      </rPr>
      <t xml:space="preserve">좋아하는 것에 관한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딱지치기 할 줄 알아</t>
    </r>
    <r>
      <rPr>
        <sz val="9"/>
        <rFont val="맑은 고딕"/>
        <family val="0"/>
        <charset val="1"/>
      </rPr>
      <t xml:space="preserve">?/ </t>
    </r>
    <r>
      <rPr>
        <sz val="9"/>
        <rFont val="WenQuanYi Zen Hei"/>
        <family val="2"/>
      </rPr>
      <t xml:space="preserve">나 할 줄 알아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</si>
  <si>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딱지치기 할 줄 알아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묻거나 좋아하는 것에 관한 대화를 시작한다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</si>
  <si>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 할 줄 알아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아니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나는 못 해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친구의 질문에 알맞게 대답하고 짧은 대화를 이어 간다</t>
    </r>
    <r>
      <rPr>
        <sz val="9"/>
        <rFont val="맑은 고딕"/>
        <family val="0"/>
        <charset val="1"/>
      </rPr>
      <t xml:space="preserve">.</t>
    </r>
  </si>
  <si>
    <t xml:space="preserve">S-3-4-2</t>
  </si>
  <si>
    <r>
      <rPr>
        <sz val="9"/>
        <rFont val="WenQuanYi Zen Hei"/>
        <family val="2"/>
      </rPr>
      <t xml:space="preserve">상대의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난 짜장면을 좋아해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너는 뭘 좋아해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그 말에 맞는 반응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김밥을 좋아해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</si>
  <si>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난 짜장면을 좋아해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너는 뭘 좋아해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친구가 할 만한 말을 들려준다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</si>
  <si>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나는 김밥을 좋아해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나도 짜장면을 좋아해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상대의 말에 맞는 반응을 한 문장으로 말한다</t>
    </r>
    <r>
      <rPr>
        <sz val="9"/>
        <rFont val="맑은 고딕"/>
        <family val="0"/>
        <charset val="1"/>
      </rPr>
      <t xml:space="preserve">.</t>
    </r>
  </si>
  <si>
    <t xml:space="preserve">S-3-5-1</t>
  </si>
  <si>
    <r>
      <rPr>
        <sz val="9"/>
        <rFont val="WenQuanYi Zen Hei"/>
        <family val="2"/>
      </rPr>
      <t xml:space="preserve">교사가 제시한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볼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달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구별되게 발음한다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</si>
  <si>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비슷한 발음의 낱말 짝을 제시한다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발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볼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달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딸</t>
    </r>
    <r>
      <rPr>
        <sz val="9"/>
        <rFont val="맑은 고딕"/>
        <family val="0"/>
        <charset val="1"/>
      </rPr>
      <t xml:space="preserve">")</t>
    </r>
  </si>
  <si>
    <r>
      <rPr>
        <sz val="9"/>
        <rFont val="WenQuanYi Zen Hei"/>
        <family val="2"/>
      </rPr>
      <t xml:space="preserve">교사가 가리키는 낱말을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두 낱말이 구별되도록 또박또박 발음한다</t>
    </r>
    <r>
      <rPr>
        <sz val="9"/>
        <rFont val="맑은 고딕"/>
        <family val="0"/>
        <charset val="1"/>
      </rPr>
      <t xml:space="preserve">.</t>
    </r>
  </si>
  <si>
    <t xml:space="preserve">S-3-5-2</t>
  </si>
  <si>
    <r>
      <rPr>
        <sz val="9"/>
        <rFont val="WenQuanYi Zen Hei"/>
        <family val="2"/>
      </rPr>
      <t xml:space="preserve">문장을 말할 때 의미 단위로 끊어 말한다</t>
    </r>
    <r>
      <rPr>
        <sz val="9"/>
        <rFont val="맑은 고딕"/>
        <family val="0"/>
        <charset val="1"/>
      </rPr>
      <t xml:space="preserve">.(</t>
    </r>
    <r>
      <rPr>
        <sz val="9"/>
        <rFont val="WenQuanYi Zen Hei"/>
        <family val="2"/>
      </rPr>
      <t xml:space="preserve">키가 크고 눈이 커요</t>
    </r>
    <r>
      <rPr>
        <sz val="9"/>
        <rFont val="맑은 고딕"/>
        <family val="0"/>
        <charset val="1"/>
      </rPr>
      <t xml:space="preserve">. , </t>
    </r>
    <r>
      <rPr>
        <sz val="9"/>
        <rFont val="WenQuanYi Zen Hei"/>
        <family val="2"/>
      </rPr>
      <t xml:space="preserve">도서관에 가서 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</si>
  <si>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키가 크고 눈이 커요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도서관에 가서 책을 읽어요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같은 문장을 학생이 따라 말하게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</si>
  <si>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의미 단위로 끊어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키가 크고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눈이 커요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도서관에 가서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.") </t>
    </r>
    <r>
      <rPr>
        <sz val="9"/>
        <rFont val="WenQuanYi Zen Hei"/>
        <family val="2"/>
      </rPr>
      <t xml:space="preserve">자연스럽게 말한다</t>
    </r>
    <r>
      <rPr>
        <sz val="9"/>
        <rFont val="맑은 고딕"/>
        <family val="0"/>
        <charset val="1"/>
      </rPr>
      <t xml:space="preserve">.</t>
    </r>
  </si>
  <si>
    <t xml:space="preserve">S-3-5-3</t>
  </si>
  <si>
    <r>
      <rPr>
        <sz val="9"/>
        <rFont val="WenQuanYi Zen Hei"/>
        <family val="2"/>
      </rPr>
      <t xml:space="preserve">상대가 알아듣기 어려워하면 발음이나 속도를 고쳐 다시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</si>
  <si>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학생의 말을 듣고 어려워하는 표정을 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</si>
  <si>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발음이나 속도를 고쳐 다시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지금 도서관 가도 돼요</t>
    </r>
    <r>
      <rPr>
        <sz val="9"/>
        <rFont val="맑은 고딕"/>
        <family val="0"/>
        <charset val="1"/>
      </rPr>
      <t xml:space="preserve">?" → </t>
    </r>
    <r>
      <rPr>
        <sz val="9"/>
        <rFont val="WenQuanYi Zen Hei"/>
        <family val="2"/>
      </rPr>
      <t xml:space="preserve">또박또박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지∙금∙ 도∙서∙관∙ 가∙도∙ 돼∙요</t>
    </r>
    <r>
      <rPr>
        <sz val="9"/>
        <rFont val="맑은 고딕"/>
        <family val="0"/>
        <charset val="1"/>
      </rPr>
      <t xml:space="preserve">?"</t>
    </r>
  </si>
  <si>
    <t xml:space="preserve">S-4-1-1</t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</si>
  <si>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소개나 발표를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</si>
  <si>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학생에게 다음 주제 중 하나를 정해 발표하게 한다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가족 소개 ② 친구 소개 ③ 방과후 활동 ④ 장래희망</t>
    </r>
  </si>
  <si>
    <r>
      <rPr>
        <sz val="9"/>
        <rFont val="WenQuanYi Zen Hei"/>
        <family val="2"/>
      </rPr>
      <t xml:space="preserve">정한 주제에 대해 두세 문장으로 소개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발표한다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 — 가족 소개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우리 가족은 네 명이에요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엄마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동생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그리고 저예요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가족은 사이가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 — 장래 희망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제 꿈은 선생님이에요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아이들을 가르치고 싶어요</t>
    </r>
    <r>
      <rPr>
        <sz val="9"/>
        <rFont val="맑은 고딕"/>
        <family val="0"/>
        <charset val="1"/>
      </rPr>
      <t xml:space="preserve">.</t>
    </r>
  </si>
  <si>
    <t xml:space="preserve">S-4-1-2</t>
  </si>
  <si>
    <r>
      <rPr>
        <sz val="9"/>
        <rFont val="WenQuanYi Zen Hei"/>
        <family val="2"/>
      </rPr>
      <t xml:space="preserve">그림이나 사진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운동 경기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날씨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자연 사진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보며 관련된 정보를 두 가지 이상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</si>
  <si>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운동 경기 사진이나 장소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날씨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자연 사진 하나를 보여 준다</t>
    </r>
    <r>
      <rPr>
        <sz val="9"/>
        <rFont val="맑은 고딕"/>
        <family val="0"/>
        <charset val="1"/>
      </rPr>
      <t xml:space="preserve">.)"</t>
    </r>
    <r>
      <rPr>
        <sz val="9"/>
        <rFont val="WenQuanYi Zen Hei"/>
        <family val="2"/>
      </rPr>
      <t xml:space="preserve">사진을 보고 알 수 있는 내용을 두 가지 정도 이야기해볼까요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</si>
  <si>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사람들이 축구를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비가 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사람들이 우산을 써요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사진을 보고 두 가지 이상 정보를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 경기 시장에서 물건 사기 비오는 날</t>
    </r>
  </si>
  <si>
    <t xml:space="preserve">S-4-2-1</t>
  </si>
  <si>
    <r>
      <rPr>
        <sz val="9"/>
        <rFont val="WenQuanYi Zen Hei"/>
        <family val="2"/>
      </rPr>
      <t xml:space="preserve">학교 생활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학급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현장체험학습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도시락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필기 도구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친구에게 알린다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</si>
  <si>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운동회예요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무엇이 필요해요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학교 행사를 알려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</si>
  <si>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도시락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모자가 필요해요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필기 도구를 가지고 와야 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친구에게 준비물을 알린다</t>
    </r>
    <r>
      <rPr>
        <sz val="9"/>
        <rFont val="맑은 고딕"/>
        <family val="0"/>
        <charset val="1"/>
      </rPr>
      <t xml:space="preserve">.</t>
    </r>
  </si>
  <si>
    <t xml:space="preserve">S-4-2-2</t>
  </si>
  <si>
    <r>
      <rPr>
        <sz val="9"/>
        <rFont val="WenQuanYi Zen Hei"/>
        <family val="2"/>
      </rPr>
      <t xml:space="preserve">친구에게 학교 생활에 관한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식단표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숙제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알린다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</si>
  <si>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결석한 친구가 학교에 안 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무엇을 알려 줄까요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</si>
  <si>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시간표를 알려 줄게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오늘 숙제는 수학 책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쪽이야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급식은 김치찌개였어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시간표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식단표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숙제 등을 친구에게 알려 준다</t>
    </r>
    <r>
      <rPr>
        <sz val="9"/>
        <rFont val="맑은 고딕"/>
        <family val="0"/>
        <charset val="1"/>
      </rPr>
      <t xml:space="preserve">.</t>
    </r>
  </si>
  <si>
    <t xml:space="preserve">S-4-2-3</t>
  </si>
  <si>
    <r>
      <rPr>
        <sz val="9"/>
        <rFont val="WenQuanYi Zen Hei"/>
        <family val="2"/>
      </rPr>
      <t xml:space="preserve">친구에게 일상생활에서 지켜야 할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공공장소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학급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교통 규칙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알린다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</si>
  <si>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친구가 처음 학교에 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무엇을 알려 줘야 할까요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</si>
  <si>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교실에서는 조용히 해야 해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복도에서 뛰면 안 돼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쓰레기는 쓰레기통에 버려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일상생활에서 지켜야 할 내용을 친구에게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</si>
  <si>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주제에 대해 발표</t>
    </r>
    <r>
      <rPr>
        <sz val="9"/>
        <rFont val="맑은 고딕"/>
        <family val="0"/>
        <charset val="1"/>
      </rPr>
      <t xml:space="preserve">( “</t>
    </r>
    <r>
      <rPr>
        <sz val="9"/>
        <rFont val="WenQuanYi Zen Hei"/>
        <family val="2"/>
      </rPr>
      <t xml:space="preserve">제 생각은 ○○입니다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자신의 생각을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</si>
  <si>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주제를 정해 학생에게 발표 형태로 자신의 의견을 말하게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</si>
  <si>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제 생각은 친구와 사이 좋게 지내야 한다는 것입니다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제 생각은 책을 많이 읽어야 한다는 것입니다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생각을 짧게 발표한다</t>
    </r>
    <r>
      <rPr>
        <sz val="9"/>
        <rFont val="맑은 고딕"/>
        <family val="0"/>
        <charset val="1"/>
      </rPr>
      <t xml:space="preserve">.</t>
    </r>
  </si>
  <si>
    <t xml:space="preserve">S-4-3-2</t>
  </si>
  <si>
    <r>
      <rPr>
        <sz val="9"/>
        <rFont val="WenQuanYi Zen Hei"/>
        <family val="2"/>
      </rPr>
      <t xml:space="preserve">이유나 근거를 들어 발표</t>
    </r>
    <r>
      <rPr>
        <sz val="9"/>
        <rFont val="맑은 고딕"/>
        <family val="0"/>
        <charset val="1"/>
      </rPr>
      <t xml:space="preserve">(“</t>
    </r>
    <r>
      <rPr>
        <sz val="9"/>
        <rFont val="WenQuanYi Zen Hei"/>
        <family val="2"/>
      </rPr>
      <t xml:space="preserve">왜냐하면 ○○이기 때문입니다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자신의 생각을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</si>
  <si>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학생에게 의견을 말한 뒤 이유나 근거를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</si>
  <si>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왜냐하면 친구와 같이 놀면 즐겁기 때문입니다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왜냐하면 책을 읽으면 똑똑해지기 때문입니다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의견에 대한 이유를 한 문장으로 말한다</t>
    </r>
    <r>
      <rPr>
        <sz val="9"/>
        <rFont val="맑은 고딕"/>
        <family val="0"/>
        <charset val="1"/>
      </rPr>
      <t xml:space="preserve">.</t>
    </r>
  </si>
  <si>
    <t xml:space="preserve">S-4-3-3</t>
  </si>
  <si>
    <r>
      <rPr>
        <sz val="9"/>
        <rFont val="WenQuanYi Zen Hei"/>
        <family val="2"/>
      </rPr>
      <t xml:space="preserve">그림이나 이야기 속 인물의 행동에 대해 자신의 생각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제 생각에 ○○이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 거짓말을 말한 것은 나쁘다고 생각합니다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</si>
  <si>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그림책의 한 장면이나 짧은 이야기에서 인물의 행동을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"○○</t>
    </r>
    <r>
      <rPr>
        <sz val="9"/>
        <rFont val="WenQuanYi Zen Hei"/>
        <family val="2"/>
      </rPr>
      <t xml:space="preserve">이가 친구에게 거짓말을 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</si>
  <si>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제 생각에 ○○이가 거짓말을 한 것은 나쁘다고 생각합니다</t>
    </r>
    <r>
      <rPr>
        <sz val="9"/>
        <rFont val="맑은 고딕"/>
        <family val="0"/>
        <charset val="1"/>
      </rPr>
      <t xml:space="preserve">.", "○○</t>
    </r>
    <r>
      <rPr>
        <sz val="9"/>
        <rFont val="WenQuanYi Zen Hei"/>
        <family val="2"/>
      </rPr>
      <t xml:space="preserve">이는 친구에게 사과해야 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인물의 행동에 대한 자신의 생각을 말한다</t>
    </r>
    <r>
      <rPr>
        <sz val="9"/>
        <rFont val="맑은 고딕"/>
        <family val="0"/>
        <charset val="1"/>
      </rPr>
      <t xml:space="preserve">.</t>
    </r>
  </si>
  <si>
    <t xml:space="preserve">S-4-4-1</t>
  </si>
  <si>
    <r>
      <rPr>
        <sz val="9"/>
        <rFont val="WenQuanYi Zen Hei"/>
        <family val="2"/>
      </rPr>
      <t xml:space="preserve">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자연 환경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명절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대화에서 질문과 대답을 두 차례 이상 주고받는다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</si>
  <si>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자연 환경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명절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수업 등 친숙한 주제로 짧은 대화를 시작한다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요즘 날씨가 어때요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설날에 무엇을 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</si>
  <si>
    <r>
      <rPr>
        <sz val="9"/>
        <rFont val="WenQuanYi Zen Hei"/>
        <family val="2"/>
      </rPr>
      <t xml:space="preserve">자기 경험을 말한 뒤 선생님에게 다시 묻는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너무 더워서 힘들어요</t>
    </r>
    <r>
      <rPr>
        <sz val="9"/>
        <rFont val="맑은 고딕"/>
        <family val="0"/>
        <charset val="1"/>
      </rPr>
      <t xml:space="preserve">." "</t>
    </r>
    <r>
      <rPr>
        <sz val="9"/>
        <rFont val="WenQuanYi Zen Hei"/>
        <family val="2"/>
      </rPr>
      <t xml:space="preserve">선생님은요</t>
    </r>
    <r>
      <rPr>
        <sz val="9"/>
        <rFont val="맑은 고딕"/>
        <family val="0"/>
        <charset val="1"/>
      </rPr>
      <t xml:space="preserve">?") </t>
    </r>
    <r>
      <rPr>
        <sz val="9"/>
        <rFont val="WenQuanYi Zen Hei"/>
        <family val="2"/>
      </rPr>
      <t xml:space="preserve">등 질문과 대답을 두 번 이상 주고받는다</t>
    </r>
    <r>
      <rPr>
        <sz val="9"/>
        <rFont val="맑은 고딕"/>
        <family val="0"/>
        <charset val="1"/>
      </rPr>
      <t xml:space="preserve">.</t>
    </r>
  </si>
  <si>
    <t xml:space="preserve">S-4-4-2</t>
  </si>
  <si>
    <r>
      <rPr>
        <sz val="9"/>
        <rFont val="WenQuanYi Zen Hei"/>
        <family val="2"/>
      </rPr>
      <t xml:space="preserve">상대의 말을 듣고 맞장구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맞아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나도 그래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확인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정말 그랬어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</si>
  <si>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선생님은 어제 영화를 봤어요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</si>
  <si>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저도 그랬어요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정말요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재미있었겠다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맞장구나 확인 표현을 사용한다</t>
    </r>
    <r>
      <rPr>
        <sz val="9"/>
        <rFont val="맑은 고딕"/>
        <family val="0"/>
        <charset val="1"/>
      </rPr>
      <t xml:space="preserve">.</t>
    </r>
  </si>
  <si>
    <t xml:space="preserve">S-4-4-3</t>
  </si>
  <si>
    <r>
      <rPr>
        <sz val="9"/>
        <rFont val="WenQuanYi Zen Hei"/>
        <family val="2"/>
      </rPr>
      <t xml:space="preserve">대화 중 모르는 말을 들으면 되묻거나 설명</t>
    </r>
    <r>
      <rPr>
        <sz val="9"/>
        <rFont val="맑은 고딕"/>
        <family val="0"/>
        <charset val="1"/>
      </rPr>
      <t xml:space="preserve">(○○</t>
    </r>
    <r>
      <rPr>
        <sz val="9"/>
        <rFont val="WenQuanYi Zen Hei"/>
        <family val="2"/>
      </rPr>
      <t xml:space="preserve">이 무슨 뜻이야</t>
    </r>
    <r>
      <rPr>
        <sz val="9"/>
        <rFont val="맑은 고딕"/>
        <family val="0"/>
        <charset val="1"/>
      </rPr>
      <t xml:space="preserve">? / ○○</t>
    </r>
    <r>
      <rPr>
        <sz val="9"/>
        <rFont val="WenQuanYi Zen Hei"/>
        <family val="2"/>
      </rPr>
      <t xml:space="preserve">는 이런 뜻이야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</si>
  <si>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 중 학생이 모르는 어휘를 일부러 포함해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분리수거 잘 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</si>
  <si>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분리수거가 무슨 뜻이야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되묻거나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알고 있으면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분리수거는 쓰레기를 나눠서 버리는 거야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설명한다</t>
    </r>
    <r>
      <rPr>
        <sz val="9"/>
        <rFont val="맑은 고딕"/>
        <family val="0"/>
        <charset val="1"/>
      </rPr>
      <t xml:space="preserve">.</t>
    </r>
  </si>
  <si>
    <t xml:space="preserve">S-4-5-1</t>
  </si>
  <si>
    <r>
      <rPr>
        <sz val="9"/>
        <rFont val="WenQuanYi Zen Hei"/>
        <family val="2"/>
      </rPr>
      <t xml:space="preserve">대상에 따라 높임말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평어 </t>
    </r>
    <r>
      <rPr>
        <sz val="9"/>
        <rFont val="맑은 고딕"/>
        <family val="0"/>
        <charset val="1"/>
      </rPr>
      <t xml:space="preserve">(“~</t>
    </r>
    <r>
      <rPr>
        <sz val="9"/>
        <rFont val="WenQuanYi Zen Hei"/>
        <family val="2"/>
      </rPr>
      <t xml:space="preserve">주세요</t>
    </r>
    <r>
      <rPr>
        <sz val="9"/>
        <rFont val="맑은 고딕"/>
        <family val="0"/>
        <charset val="1"/>
      </rPr>
      <t xml:space="preserve">.”, “~</t>
    </r>
    <r>
      <rPr>
        <sz val="9"/>
        <rFont val="WenQuanYi Zen Hei"/>
        <family val="2"/>
      </rPr>
      <t xml:space="preserve">해 주세요</t>
    </r>
    <r>
      <rPr>
        <sz val="9"/>
        <rFont val="맑은 고딕"/>
        <family val="0"/>
        <charset val="1"/>
      </rPr>
      <t xml:space="preserve">.” , "</t>
    </r>
    <r>
      <rPr>
        <sz val="9"/>
        <rFont val="WenQuanYi Zen Hei"/>
        <family val="2"/>
      </rPr>
      <t xml:space="preserve">괜찮아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같이 하자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사용하여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</si>
  <si>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어른과 이야기하는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친구와 이야기하는 상황을 각각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</si>
  <si>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어른에게는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선생님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이거 주세요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도와 주세요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높임말을 사용하고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친구에게는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괜찮아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같이 하자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평어를 사용해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선생님께 가위를 빌려달라고 요청하는 상황 친구끼리 이야기하는 상황</t>
    </r>
  </si>
  <si>
    <t xml:space="preserve">S-4-5-2</t>
  </si>
  <si>
    <r>
      <rPr>
        <sz val="9"/>
        <rFont val="WenQuanYi Zen Hei"/>
        <family val="2"/>
      </rPr>
      <t xml:space="preserve">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고마운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미안한 상황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따라 알맞은 표현을 사용한다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</si>
  <si>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상황 그림카드로 보여주며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상황에는 뭐라고 말하는 것이 좋을까요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질문한다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친구가 도와줬을 때 ② 친구의 발을 밟았을 때 ③ 친구가 미안하다고 했을 때</t>
    </r>
  </si>
  <si>
    <r>
      <rPr>
        <sz val="9"/>
        <rFont val="WenQuanYi Zen Hei"/>
        <family val="2"/>
      </rPr>
      <t xml:space="preserve">각 상황에 알맞은 표현을 말한다</t>
    </r>
    <r>
      <rPr>
        <sz val="9"/>
        <rFont val="맑은 고딕"/>
        <family val="0"/>
        <charset val="1"/>
      </rPr>
      <t xml:space="preserve">. ("</t>
    </r>
    <r>
      <rPr>
        <sz val="9"/>
        <rFont val="WenQuanYi Zen Hei"/>
        <family val="2"/>
      </rPr>
      <t xml:space="preserve">고마워요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미안해요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괜찮아요</t>
    </r>
    <r>
      <rPr>
        <sz val="9"/>
        <rFont val="맑은 고딕"/>
        <family val="0"/>
        <charset val="1"/>
      </rPr>
      <t xml:space="preserve">.") </t>
    </r>
    <r>
      <rPr>
        <sz val="9"/>
        <rFont val="WenQuanYi Zen Hei"/>
        <family val="2"/>
      </rPr>
      <t xml:space="preserve">실수로 친구의 발을 밟아 미안한 상황 친구가 나를 도와준 고마운 상황</t>
    </r>
  </si>
  <si>
    <t xml:space="preserve">S-4-5-3</t>
  </si>
  <si>
    <r>
      <rPr>
        <sz val="9"/>
        <rFont val="WenQuanYi Zen Hei"/>
        <family val="2"/>
      </rPr>
      <t xml:space="preserve">발표나 대화에서 상대가 들을 수 있는 크기와 속도로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</si>
  <si>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발표 상황을 만든다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</si>
  <si>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발표나 대화에서 뒷줄 친구도 들을 수 있도록 충분한 크기와 또렷한 발음으로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○○이에요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오늘 발표를 시작하겠습니다</t>
    </r>
    <r>
      <rPr>
        <sz val="9"/>
        <rFont val="맑은 고딕"/>
        <family val="0"/>
        <charset val="1"/>
      </rPr>
      <t xml:space="preserve">." (</t>
    </r>
    <r>
      <rPr>
        <sz val="9"/>
        <rFont val="WenQuanYi Zen Hei"/>
        <family val="2"/>
      </rPr>
      <t xml:space="preserve">목소리 크고 또렷하게</t>
    </r>
    <r>
      <rPr>
        <sz val="9"/>
        <rFont val="맑은 고딕"/>
        <family val="0"/>
        <charset val="1"/>
      </rPr>
      <t xml:space="preserve">)</t>
    </r>
  </si>
  <si>
    <t xml:space="preserve">R-1-1-1</t>
  </si>
  <si>
    <r>
      <rPr>
        <sz val="9"/>
        <rFont val="WenQuanYi Zen Hei"/>
        <family val="2"/>
      </rPr>
      <t xml:space="preserve">자음과 모음이 결합된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</si>
  <si>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글자 카드 여러 장 — 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라 등 — 을 보여 주며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 글자를 소리 내어 읽어 보세요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</si>
  <si>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자음과 모음이 결합된 글자를 보고 또박또박 소리 내어 읽는다</t>
    </r>
    <r>
      <rPr>
        <sz val="9"/>
        <rFont val="맑은 고딕"/>
        <family val="0"/>
        <charset val="1"/>
      </rPr>
      <t xml:space="preserve">.</t>
    </r>
  </si>
  <si>
    <t xml:space="preserve">R-1-1-2</t>
  </si>
  <si>
    <r>
      <rPr>
        <sz val="9"/>
        <rFont val="WenQuanYi Zen Hei"/>
        <family val="2"/>
      </rPr>
      <t xml:space="preserve">그림과 함께 제시된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</si>
  <si>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그림과 낱말이 함께 있는 카드 — 사과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학교 등 — 을 보여 주며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여기에 적힌 낱말을 읽어 보세요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</si>
  <si>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그림 옆에 적힌 낱말을 소리 내어 읽는다</t>
    </r>
    <r>
      <rPr>
        <sz val="9"/>
        <rFont val="맑은 고딕"/>
        <family val="0"/>
        <charset val="1"/>
      </rPr>
      <t xml:space="preserve">.</t>
    </r>
  </si>
  <si>
    <t xml:space="preserve">R-1-1-3</t>
  </si>
  <si>
    <r>
      <rPr>
        <sz val="9"/>
        <rFont val="WenQuanYi Zen Hei"/>
        <family val="2"/>
      </rPr>
      <t xml:space="preserve">교실에서 자주 보는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</si>
  <si>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교실에 자주 붙어 있는 낱말 — 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창문 등 — 을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 낱말을 읽어 보세요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</si>
  <si>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교실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문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창문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교실에서 자주 보는 낱말을 소리 내어 읽는다</t>
    </r>
    <r>
      <rPr>
        <sz val="9"/>
        <rFont val="맑은 고딕"/>
        <family val="0"/>
        <charset val="1"/>
      </rPr>
      <t xml:space="preserve">.</t>
    </r>
  </si>
  <si>
    <t xml:space="preserve">R-1-2-1</t>
  </si>
  <si>
    <r>
      <rPr>
        <sz val="9"/>
        <rFont val="WenQuanYi Zen Hei"/>
        <family val="2"/>
      </rPr>
      <t xml:space="preserve">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강아지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해당하는 그림이나 실물을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</si>
  <si>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강아지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강아지 그림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따로 늘어놓는다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</si>
  <si>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낱말 카드를 읽고 같은 뜻의 그림이나 실물을 짝지어 선으로 잇거나 카드를 위로 옮긴다</t>
    </r>
    <r>
      <rPr>
        <sz val="9"/>
        <rFont val="맑은 고딕"/>
        <family val="0"/>
        <charset val="1"/>
      </rPr>
      <t xml:space="preserve">.</t>
    </r>
  </si>
  <si>
    <t xml:space="preserve">R-1-2-2</t>
  </si>
  <si>
    <r>
      <rPr>
        <sz val="9"/>
        <rFont val="WenQuanYi Zen Hei"/>
        <family val="2"/>
      </rPr>
      <t xml:space="preserve">교실 물건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해당 물건에 사물 이름표를 붙인다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</si>
  <si>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문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같은 사물 이름표를 학생에게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</si>
  <si>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이름표의 낱말을 읽고 해당 물건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문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이름표를 붙인다</t>
    </r>
    <r>
      <rPr>
        <sz val="9"/>
        <rFont val="맑은 고딕"/>
        <family val="0"/>
        <charset val="1"/>
      </rPr>
      <t xml:space="preserve">.</t>
    </r>
  </si>
  <si>
    <t xml:space="preserve">R-1-3-1</t>
  </si>
  <si>
    <r>
      <rPr>
        <sz val="9"/>
        <rFont val="WenQuanYi Zen Hei"/>
        <family val="2"/>
      </rPr>
      <t xml:space="preserve">표지판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간판에 쓰여진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해당 장소를 가리키거나 이동한다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</si>
  <si>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 등의 표지판이나 간판 사진을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</si>
  <si>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표지판의 글자를 읽고 해당 장소를 손가락으로 가리키거나 그 장소로 이동한다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약국 병원 보건실 화장실</t>
    </r>
  </si>
  <si>
    <t xml:space="preserve">R-1-3-2</t>
  </si>
  <si>
    <r>
      <rPr>
        <sz val="9"/>
        <rFont val="WenQuanYi Zen Hei"/>
        <family val="2"/>
      </rPr>
      <t xml:space="preserve">생활 규칙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줄 서기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손 씻기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해야 할 행동을 짧은 말이나 몸짓으로 나타낸다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</si>
  <si>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생활 규칙 안내문 중 하나를 보여 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교실에 들어올 때 줄을 서요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밥을 먹기 전에 손을 씻어요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복도에서는 뛰지 않아요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</si>
  <si>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글을 읽고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줄 서기를 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손을 씻어요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짧은 말이나 몸짓으로 해야 할 행동을 나타낸다</t>
    </r>
    <r>
      <rPr>
        <sz val="9"/>
        <rFont val="맑은 고딕"/>
        <family val="0"/>
        <charset val="1"/>
      </rPr>
      <t xml:space="preserve">.</t>
    </r>
  </si>
  <si>
    <t xml:space="preserve">R-1-3-3</t>
  </si>
  <si>
    <r>
      <rPr>
        <sz val="9"/>
        <rFont val="WenQuanYi Zen Hei"/>
        <family val="2"/>
      </rPr>
      <t xml:space="preserve">신발장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사물함 등에 붙은 이름표를 읽고 자신의 자리를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</si>
  <si>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신발장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사물함에 이름표가 붙어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</si>
  <si>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이름표의 글자를 읽고 자기 이름이 있는 자리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신발장 칸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사물함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정확히 찾아간다</t>
    </r>
    <r>
      <rPr>
        <sz val="9"/>
        <rFont val="맑은 고딕"/>
        <family val="0"/>
        <charset val="1"/>
      </rPr>
      <t xml:space="preserve">.</t>
    </r>
  </si>
  <si>
    <t xml:space="preserve">R-1-4-1</t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</si>
  <si>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모음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중 고르기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들어간 글자를 골라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</si>
  <si>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 그림을 보여 주고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우리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글자 카드를 옆에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</si>
  <si>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보고 알맞은 모음이 들어간 글자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골라 소리 내어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같은 방식으로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아기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어기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이불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오불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 다른 짝도 진행한다</t>
    </r>
    <r>
      <rPr>
        <sz val="9"/>
        <rFont val="맑은 고딕"/>
        <family val="0"/>
        <charset val="1"/>
      </rPr>
      <t xml:space="preserve">.</t>
    </r>
  </si>
  <si>
    <t xml:space="preserve">R-1-4-2</t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</si>
  <si>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자음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자과 중 고르기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들어간 글자를 골라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</si>
  <si>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 그림을 보여 주고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자과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글자 카드를 옆에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</si>
  <si>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보고 알맞은 자음이 들어간 글자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골라 소리 내어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같은 방식으로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바나나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마나나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다리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타리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 다른 짝도 진행한다</t>
    </r>
    <r>
      <rPr>
        <sz val="9"/>
        <rFont val="맑은 고딕"/>
        <family val="0"/>
        <charset val="1"/>
      </rPr>
      <t xml:space="preserve">.</t>
    </r>
  </si>
  <si>
    <t xml:space="preserve">R-1-4-3</t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</si>
  <si>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받침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문병 중 고르기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들어간 글자를 골라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</si>
  <si>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물병 그림을 보여 주고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물병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문병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글자 카드를 옆에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</si>
  <si>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보고 알맞은 받침이 들어간 글자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물병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골라 소리 내어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같은 방식으로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공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산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삼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 다른 짝도 진행한다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</si>
  <si>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표시한 쉬는 곳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맞추어 짧은 문장을 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</si>
  <si>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문장에 띄어 읽을 곳을 표시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가요</t>
    </r>
    <r>
      <rPr>
        <sz val="9"/>
        <rFont val="맑은 고딕"/>
        <family val="0"/>
        <charset val="1"/>
      </rPr>
      <t xml:space="preserve">.")</t>
    </r>
    <r>
      <rPr>
        <sz val="9"/>
        <rFont val="WenQuanYi Zen Hei"/>
        <family val="2"/>
      </rPr>
      <t xml:space="preserve">해서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</si>
  <si>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표시된 곳에서 살짝 쉬며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학교에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가요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자연스럽게 띄어 읽는다</t>
    </r>
    <r>
      <rPr>
        <sz val="9"/>
        <rFont val="맑은 고딕"/>
        <family val="0"/>
        <charset val="1"/>
      </rPr>
      <t xml:space="preserve">.</t>
    </r>
  </si>
  <si>
    <t xml:space="preserve">R-2-1-2</t>
  </si>
  <si>
    <r>
      <rPr>
        <sz val="9"/>
        <rFont val="WenQuanYi Zen Hei"/>
        <family val="2"/>
      </rPr>
      <t xml:space="preserve">두세 어절로 된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우유를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운동장에서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집에서 숙제를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낱말 사이에서 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</si>
  <si>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두세 어절의 짧은 문장을 보여 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우유를 마셔요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운동장에서 놀아요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집에서 숙제를 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</si>
  <si>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낱말 사이를 자연스럽게 띄어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우유를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마셔요</t>
    </r>
    <r>
      <rPr>
        <sz val="9"/>
        <rFont val="맑은 고딕"/>
        <family val="0"/>
        <charset val="1"/>
      </rPr>
      <t xml:space="preserve">.") </t>
    </r>
    <r>
      <rPr>
        <sz val="9"/>
        <rFont val="WenQuanYi Zen Hei"/>
        <family val="2"/>
      </rPr>
      <t xml:space="preserve">또박또박 읽는다</t>
    </r>
    <r>
      <rPr>
        <sz val="9"/>
        <rFont val="맑은 고딕"/>
        <family val="0"/>
        <charset val="1"/>
      </rPr>
      <t xml:space="preserve">.</t>
    </r>
  </si>
  <si>
    <t xml:space="preserve">R-2-2-1</t>
  </si>
  <si>
    <r>
      <rPr>
        <sz val="9"/>
        <rFont val="WenQuanYi Zen Hei"/>
        <family val="2"/>
      </rPr>
      <t xml:space="preserve">짧은 지시문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문을 닫아요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문을 열어요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문장에 맞는 행동을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</si>
  <si>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짧은 지시문 중 하나를 학생에게 카드로 보여 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문을 닫아요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문을 열어요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자리에 앉아요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</si>
  <si>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카드를 읽고 글에 맞는 행동을 한다</t>
    </r>
    <r>
      <rPr>
        <sz val="9"/>
        <rFont val="맑은 고딕"/>
        <family val="0"/>
        <charset val="1"/>
      </rPr>
      <t xml:space="preserve">.</t>
    </r>
  </si>
  <si>
    <t xml:space="preserve">R-2-2-2</t>
  </si>
  <si>
    <r>
      <rPr>
        <sz val="9"/>
        <rFont val="WenQuanYi Zen Hei"/>
        <family val="2"/>
      </rPr>
      <t xml:space="preserve">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고양이가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아이가 뛰어요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민수가 공을 차요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 내용과 맞는 그림을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</si>
  <si>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짧은 문장 중 하나를 카드로 보여 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고양이가 자요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아이가 뛰어요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민수가 공을 차요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 카드 여러 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</si>
  <si>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문장과 맞는 그림을 손가락으로 가리킨다</t>
    </r>
    <r>
      <rPr>
        <sz val="9"/>
        <rFont val="맑은 고딕"/>
        <family val="0"/>
        <charset val="1"/>
      </rPr>
      <t xml:space="preserve">.</t>
    </r>
  </si>
  <si>
    <t xml:space="preserve">R-2-3-1</t>
  </si>
  <si>
    <r>
      <rPr>
        <sz val="9"/>
        <rFont val="WenQuanYi Zen Hei"/>
        <family val="2"/>
      </rPr>
      <t xml:space="preserve">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색종이와 가위 가져오기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색종이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</si>
  <si>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내일 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색종이와 가위 가져오기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을 학생에게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</si>
  <si>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알림장을 읽고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색종이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필요한 준비물을 짧게 말하거나 가리킨다</t>
    </r>
    <r>
      <rPr>
        <sz val="9"/>
        <rFont val="맑은 고딕"/>
        <family val="0"/>
        <charset val="1"/>
      </rPr>
      <t xml:space="preserve">.</t>
    </r>
  </si>
  <si>
    <t xml:space="preserve">R-2-3-2</t>
  </si>
  <si>
    <r>
      <rPr>
        <sz val="9"/>
        <rFont val="WenQuanYi Zen Hei"/>
        <family val="2"/>
      </rPr>
      <t xml:space="preserve">게시판 안내문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도서관에서 퀴즈 행사를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동그라미를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</si>
  <si>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게시판에 붙은 짧은 안내문을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안내문 </t>
    </r>
    <r>
      <rPr>
        <sz val="9"/>
        <rFont val="맑은 고딕"/>
        <family val="0"/>
        <charset val="1"/>
      </rPr>
      <t xml:space="preserve">1 — "10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일 오후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시에 도서관에서 책 읽기 퀴즈 행사를 합니다</t>
    </r>
    <r>
      <rPr>
        <sz val="9"/>
        <rFont val="맑은 고딕"/>
        <family val="0"/>
        <charset val="1"/>
      </rPr>
      <t xml:space="preserve">. 1~2</t>
    </r>
    <r>
      <rPr>
        <sz val="9"/>
        <rFont val="WenQuanYi Zen Hei"/>
        <family val="2"/>
      </rPr>
      <t xml:space="preserve">학년 학생만 오세요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안내문 </t>
    </r>
    <r>
      <rPr>
        <sz val="9"/>
        <rFont val="맑은 고딕"/>
        <family val="0"/>
        <charset val="1"/>
      </rPr>
      <t xml:space="preserve">2 — "</t>
    </r>
    <r>
      <rPr>
        <sz val="9"/>
        <rFont val="WenQuanYi Zen Hei"/>
        <family val="2"/>
      </rPr>
      <t xml:space="preserve">다음 주 월요일에 운동장에서 운동회를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모자를 꼭 쓰고 오세요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안내문 </t>
    </r>
    <r>
      <rPr>
        <sz val="9"/>
        <rFont val="맑은 고딕"/>
        <family val="0"/>
        <charset val="1"/>
      </rPr>
      <t xml:space="preserve">3 — "</t>
    </r>
    <r>
      <rPr>
        <sz val="9"/>
        <rFont val="WenQuanYi Zen Hei"/>
        <family val="2"/>
      </rPr>
      <t xml:space="preserve">수요일 점심시간에 강당에서 음악회가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모두 환영합니다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</si>
  <si>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안내문을 읽고 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같은 필요한 정보에 동그라미를 그린다</t>
    </r>
    <r>
      <rPr>
        <sz val="9"/>
        <rFont val="맑은 고딕"/>
        <family val="0"/>
        <charset val="1"/>
      </rPr>
      <t xml:space="preserve">.</t>
    </r>
  </si>
  <si>
    <t xml:space="preserve">R-2-4-1</t>
  </si>
  <si>
    <r>
      <rPr>
        <sz val="9"/>
        <rFont val="WenQuanYi Zen Hei"/>
        <family val="2"/>
      </rPr>
      <t xml:space="preserve">누가 무엇을 하는지 드러나도록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지아가 </t>
    </r>
    <r>
      <rPr>
        <sz val="9"/>
        <rFont val="맑은 고딕"/>
        <family val="0"/>
        <charset val="1"/>
      </rPr>
      <t xml:space="preserve">v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두 부분으로 나누어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</si>
  <si>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지아가 그림을 그려요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같은 짧은 문장을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</si>
  <si>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누가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지아가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무엇을 한다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)'</t>
    </r>
    <r>
      <rPr>
        <sz val="9"/>
        <rFont val="WenQuanYi Zen Hei"/>
        <family val="2"/>
      </rPr>
      <t xml:space="preserve">로 나누어 살짝 쉬며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지아가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식으로 읽는다</t>
    </r>
    <r>
      <rPr>
        <sz val="9"/>
        <rFont val="맑은 고딕"/>
        <family val="0"/>
        <charset val="1"/>
      </rPr>
      <t xml:space="preserve">.</t>
    </r>
  </si>
  <si>
    <t xml:space="preserve">R-2-4-2</t>
  </si>
  <si>
    <r>
      <rPr>
        <sz val="9"/>
        <rFont val="WenQuanYi Zen Hei"/>
        <family val="2"/>
      </rPr>
      <t xml:space="preserve">장소나 시간을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운동장에서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친구와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아침에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앞부분에서 쉬어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</si>
  <si>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시간이 앞에 나오는 짧은 문장을 보여 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운동장에서 친구와 놀아요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아침에 학교에 가요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</si>
  <si>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앞부분에서 살짝 쉬며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운동장에서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친구와 놀아요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아침에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학교에 가요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읽는다</t>
    </r>
    <r>
      <rPr>
        <sz val="9"/>
        <rFont val="맑은 고딕"/>
        <family val="0"/>
        <charset val="1"/>
      </rPr>
      <t xml:space="preserve">.</t>
    </r>
  </si>
  <si>
    <t xml:space="preserve">R-3-1-1</t>
  </si>
  <si>
    <r>
      <rPr>
        <sz val="9"/>
        <rFont val="WenQuanYi Zen Hei"/>
        <family val="2"/>
      </rPr>
      <t xml:space="preserve">두세 문장으로 된 이야기를 읽고 등장인물을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</si>
  <si>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두세 문장으로 된 짧은 이야기를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민지가 운동장에서 친구를 만났어요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둘이서 공놀이를 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</si>
  <si>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이야기를 읽고 등장인물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민지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동그라미를 그리거나 손가락으로 표시한다</t>
    </r>
    <r>
      <rPr>
        <sz val="9"/>
        <rFont val="맑은 고딕"/>
        <family val="0"/>
        <charset val="1"/>
      </rPr>
      <t xml:space="preserve">.</t>
    </r>
  </si>
  <si>
    <t xml:space="preserve">R-3-1-2</t>
  </si>
  <si>
    <r>
      <rPr>
        <sz val="9"/>
        <rFont val="WenQuanYi Zen Hei"/>
        <family val="2"/>
      </rPr>
      <t xml:space="preserve">짧은 글을 읽고 일이 일어난 장소를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</si>
  <si>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민지는 토요일에 친구와 동물원에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거기에서 코끼리와 사자를 봤어요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장소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집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도서관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</si>
  <si>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일이 일어난 장소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동물원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에 표시한다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 학교 동물원 도서관</t>
    </r>
  </si>
  <si>
    <t xml:space="preserve">R-3-1-3</t>
  </si>
  <si>
    <r>
      <rPr>
        <sz val="9"/>
        <rFont val="WenQuanYi Zen Hei"/>
        <family val="2"/>
      </rPr>
      <t xml:space="preserve">짧은 글을 읽고 글에서 등장인물이 한 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</si>
  <si>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민수는 어제 학교에서 친구를 도와줬어요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친구의 가방을 같이 들어 주었어요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행동 보기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도와줬어요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싸웠어요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놀았어요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</si>
  <si>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등장인물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민수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한 일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도와줬어요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가방을 들어 주었어요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을 골라 표시한다</t>
    </r>
    <r>
      <rPr>
        <sz val="9"/>
        <rFont val="맑은 고딕"/>
        <family val="0"/>
        <charset val="1"/>
      </rPr>
      <t xml:space="preserve">.</t>
    </r>
  </si>
  <si>
    <t xml:space="preserve">R-3-1-4</t>
  </si>
  <si>
    <r>
      <rPr>
        <sz val="9"/>
        <rFont val="WenQuanYi Zen Hei"/>
        <family val="2"/>
      </rPr>
      <t xml:space="preserve">짧은 글을 읽고 내용과 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</si>
  <si>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지아는 공원에서 자전거를 탔어요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 카드 여러 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</si>
  <si>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 내용과 맞는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아이가 공원에서 자전거 타는 그림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</si>
  <si>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t xml:space="preserve">R-3-2-1</t>
  </si>
  <si>
    <r>
      <rPr>
        <sz val="9"/>
        <rFont val="WenQuanYi Zen Hei"/>
        <family val="2"/>
      </rPr>
      <t xml:space="preserve">친구 소개 글을 읽고 친구의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옷차림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생김새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</si>
  <si>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 소개 글을 학생에게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— "</t>
    </r>
    <r>
      <rPr>
        <sz val="9"/>
        <rFont val="WenQuanYi Zen Hei"/>
        <family val="2"/>
      </rPr>
      <t xml:space="preserve">민수는 안경을 썼어요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머리가 짧아요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파란 옷을 입었어요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— "</t>
    </r>
    <r>
      <rPr>
        <sz val="9"/>
        <rFont val="WenQuanYi Zen Hei"/>
        <family val="2"/>
      </rPr>
      <t xml:space="preserve">지아는 머리가 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안경을 안 썼어요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빨간 옷을 입었어요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3 — "</t>
    </r>
    <r>
      <rPr>
        <sz val="9"/>
        <rFont val="WenQuanYi Zen Hei"/>
        <family val="2"/>
      </rPr>
      <t xml:space="preserve">수호는 키가 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모자를 썼어요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노란 옷을 입었어요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친구 얼굴 그림 여러 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</si>
  <si>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글에 나온 옷차림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생김새와 맞는 그림을 손가락으로 가리킨다</t>
    </r>
    <r>
      <rPr>
        <sz val="9"/>
        <rFont val="맑은 고딕"/>
        <family val="0"/>
        <charset val="1"/>
      </rPr>
      <t xml:space="preserve">.</t>
    </r>
  </si>
  <si>
    <t xml:space="preserve">R-3-2-2</t>
  </si>
  <si>
    <r>
      <rPr>
        <sz val="9"/>
        <rFont val="WenQuanYi Zen Hei"/>
        <family val="2"/>
      </rPr>
      <t xml:space="preserve">학교 소개 글을 읽고 주요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</si>
  <si>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소개 글을 학생에게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“</t>
    </r>
    <r>
      <rPr>
        <sz val="9"/>
        <rFont val="WenQuanYi Zen Hei"/>
        <family val="2"/>
      </rPr>
      <t xml:space="preserve">우리 학교 이름은 ○○초등학교예요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학교 꽃은 개나리예요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학교 나무는 소나무예요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 수는 </t>
    </r>
    <r>
      <rPr>
        <sz val="9"/>
        <rFont val="맑은 고딕"/>
        <family val="0"/>
        <charset val="1"/>
      </rPr>
      <t xml:space="preserve">500</t>
    </r>
    <r>
      <rPr>
        <sz val="9"/>
        <rFont val="WenQuanYi Zen Hei"/>
        <family val="2"/>
      </rPr>
      <t xml:space="preserve">명이에요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학교 이름이 뭐예요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우리학교의 꽃은 뭐예요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우리학교를 나타내는 나무는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</si>
  <si>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"○○</t>
    </r>
    <r>
      <rPr>
        <sz val="9"/>
        <rFont val="WenQuanYi Zen Hei"/>
        <family val="2"/>
      </rPr>
      <t xml:space="preserve">초등학교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개나리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소나무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글에서 주요 정보를 찾아 답한다</t>
    </r>
    <r>
      <rPr>
        <sz val="9"/>
        <rFont val="맑은 고딕"/>
        <family val="0"/>
        <charset val="1"/>
      </rPr>
      <t xml:space="preserve">.</t>
    </r>
  </si>
  <si>
    <t xml:space="preserve">R-3-2-3</t>
  </si>
  <si>
    <r>
      <rPr>
        <sz val="9"/>
        <rFont val="WenQuanYi Zen Hei"/>
        <family val="2"/>
      </rPr>
      <t xml:space="preserve">좋아하는 동물 소개 글을 읽고 동물의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다리 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사는 곳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질문에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</si>
  <si>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좋아하는 동물 소개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—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강아지를 좋아해요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강아지는 갈색이에요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다리는 네 개예요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강아지는 집에서 살아요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강아지는 무슨 색이에요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다리가 몇 개예요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어디에서 살아요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</si>
  <si>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갈색이에요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네 개예요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집에서 살아요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글에서 정보를 찾아 답하거나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숫자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설명하는 카드를 가리킨다</t>
    </r>
    <r>
      <rPr>
        <sz val="9"/>
        <rFont val="맑은 고딕"/>
        <family val="0"/>
        <charset val="1"/>
      </rPr>
      <t xml:space="preserve">.</t>
    </r>
  </si>
  <si>
    <t xml:space="preserve">R-3-3-1</t>
  </si>
  <si>
    <r>
      <rPr>
        <sz val="9"/>
        <rFont val="WenQuanYi Zen Hei"/>
        <family val="2"/>
      </rPr>
      <t xml:space="preserve">짧은 초대 글을 읽고 초대의 목적이나 의도를 찾아낸다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</si>
  <si>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초대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민지에게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 주 토요일은 내 생일이야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집에서 같이 케이크 먹자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와 줘</t>
    </r>
    <r>
      <rPr>
        <sz val="9"/>
        <rFont val="맑은 고딕"/>
        <family val="0"/>
        <charset val="1"/>
      </rPr>
      <t xml:space="preserve">! — </t>
    </r>
    <r>
      <rPr>
        <sz val="9"/>
        <rFont val="WenQuanYi Zen Hei"/>
        <family val="2"/>
      </rPr>
      <t xml:space="preserve">수호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</si>
  <si>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글을 읽고 초대의 목적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생일 파티에 초대하는 글이에요</t>
    </r>
    <r>
      <rPr>
        <sz val="9"/>
        <rFont val="맑은 고딕"/>
        <family val="0"/>
        <charset val="1"/>
      </rPr>
      <t xml:space="preserve">.")</t>
    </r>
    <r>
      <rPr>
        <sz val="9"/>
        <rFont val="WenQuanYi Zen Hei"/>
        <family val="2"/>
      </rPr>
      <t xml:space="preserve">을 찾아 답하거나 초대의 목적을 나타내는 그림을 찾는다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생일 파티를 하는 상황 ② 운동을 같이 하는 상황 ③ 동물원에 놀러간 상황 생일파티를 하는 상황 운동을 같이 하는 상황 동물원에 놀러간 상황</t>
    </r>
  </si>
  <si>
    <t xml:space="preserve">R-3-3-2</t>
  </si>
  <si>
    <r>
      <rPr>
        <sz val="9"/>
        <rFont val="WenQuanYi Zen Hei"/>
        <family val="2"/>
      </rPr>
      <t xml:space="preserve">간단한 메세지를 읽고 부탁한 일을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</si>
  <si>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간단한 메시지를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엄마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비가 오는데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우산을 가지고 오지 않았어요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학교 끝나고 데리러 와 줄 수 있으세요</t>
    </r>
    <r>
      <rPr>
        <sz val="9"/>
        <rFont val="맑은 고딕"/>
        <family val="0"/>
        <charset val="1"/>
      </rPr>
      <t xml:space="preserve">? - </t>
    </r>
    <r>
      <rPr>
        <sz val="9"/>
        <rFont val="WenQuanYi Zen Hei"/>
        <family val="2"/>
      </rPr>
      <t xml:space="preserve">미나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엄마에게 무엇을 부탁한 거예요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</si>
  <si>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데리러 와 달라고 말하는 거예요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문장으로 답한다</t>
    </r>
    <r>
      <rPr>
        <sz val="9"/>
        <rFont val="맑은 고딕"/>
        <family val="0"/>
        <charset val="1"/>
      </rPr>
      <t xml:space="preserve">.</t>
    </r>
  </si>
  <si>
    <t xml:space="preserve">R-3-3-3</t>
  </si>
  <si>
    <r>
      <rPr>
        <sz val="9"/>
        <rFont val="WenQuanYi Zen Hei"/>
        <family val="2"/>
      </rPr>
      <t xml:space="preserve">짧은 안내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 이용방법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규칙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해야 할 행동을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</si>
  <si>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안내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— </t>
    </r>
    <r>
      <rPr>
        <sz val="9"/>
        <rFont val="WenQuanYi Zen Hei"/>
        <family val="2"/>
      </rPr>
      <t xml:space="preserve">도서관 이용 방법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도서관에 들어올 때는 조용히 들어와요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책을 가지고 갈 때는 사서 선생님께 말해요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— </t>
    </r>
    <r>
      <rPr>
        <sz val="9"/>
        <rFont val="WenQuanYi Zen Hei"/>
        <family val="2"/>
      </rPr>
      <t xml:space="preserve">학교 규칙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복도에서는 뛰지 않아요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친구에게 인사를 잘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쓰레기는 쓰레기통에 버려요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도서관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학교에서는 어떻게 해야할까요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</si>
  <si>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글을 읽고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조용히 들어가요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복도에서 걸어요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해야 할 행동을 짧은 말로 찾아 답하거나 행동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쉿 하는 손동작 또는 뛰지 않는다는 제스쳐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보여준다</t>
    </r>
    <r>
      <rPr>
        <sz val="9"/>
        <rFont val="맑은 고딕"/>
        <family val="0"/>
        <charset val="1"/>
      </rPr>
      <t xml:space="preserve">.</t>
    </r>
  </si>
  <si>
    <t xml:space="preserve">R-3-3-4</t>
  </si>
  <si>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글의 주제에 관련한 문장에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</si>
  <si>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어제 저는 친구와 공원에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같이 자전거를 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재미있었어요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(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사과는 빨간 과일이에요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맛있고 영양이 많아요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사과는 가을에 많이 나와요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보기 문장 여러 개를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 글의 주제는 무엇일까요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</si>
  <si>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글의 주제와 관련된 문장에 동그라미를 그리거나 손가락으로 표시한다</t>
    </r>
    <r>
      <rPr>
        <sz val="9"/>
        <rFont val="맑은 고딕"/>
        <family val="0"/>
        <charset val="1"/>
      </rPr>
      <t xml:space="preserve">.</t>
    </r>
  </si>
  <si>
    <t xml:space="preserve">R-3-4-1</t>
  </si>
  <si>
    <r>
      <rPr>
        <sz val="9"/>
        <rFont val="WenQuanYi Zen Hei"/>
        <family val="2"/>
      </rPr>
      <t xml:space="preserve">짧은 문단을 읽고 무엇에 대한 글인지 한 단어나 짧은 말로 말한다</t>
    </r>
    <r>
      <rPr>
        <sz val="9"/>
        <rFont val="맑은 고딕"/>
        <family val="0"/>
        <charset val="1"/>
      </rPr>
      <t xml:space="preserve">. -</t>
    </r>
    <r>
      <rPr>
        <sz val="9"/>
        <rFont val="WenQuanYi Zen Hei"/>
        <family val="2"/>
      </rPr>
      <t xml:space="preserve">다양한 구조의 문장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연결어가 포함된 문장</t>
    </r>
  </si>
  <si>
    <r>
      <rPr>
        <sz val="9"/>
        <rFont val="WenQuanYi Zen Hei"/>
        <family val="2"/>
      </rPr>
      <t xml:space="preserve">짧은 문단을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봄에는 꽃이 많이 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그래서 여러 가지 색깔의 꽃을 볼 수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사람들은 봄에 꽃 구경을 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 글의 중심 내용은 무엇일까요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</si>
  <si>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글을 읽고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꽃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꽃 구경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글의 주제를 한 단어나 짧은 말로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또는 중심 내용을 나타내는 단어에 밑줄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동그라미 치거나 손가락으로 가리킨다</t>
    </r>
    <r>
      <rPr>
        <sz val="9"/>
        <rFont val="맑은 고딕"/>
        <family val="0"/>
        <charset val="1"/>
      </rPr>
      <t xml:space="preserve">.</t>
    </r>
  </si>
  <si>
    <t xml:space="preserve">R-3-4-2</t>
  </si>
  <si>
    <r>
      <rPr>
        <sz val="9"/>
        <rFont val="WenQuanYi Zen Hei"/>
        <family val="2"/>
      </rPr>
      <t xml:space="preserve">짧은 문단을 읽고 까닭이나 결과를 나타내는 문장을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원인과 결과가 드러나는 문장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</si>
  <si>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텍스트 추출 안 됨 — 원본 </t>
    </r>
    <r>
      <rPr>
        <sz val="9"/>
        <rFont val="맑은 고딕"/>
        <family val="0"/>
        <charset val="1"/>
      </rPr>
      <t xml:space="preserve">PDF </t>
    </r>
    <r>
      <rPr>
        <sz val="9"/>
        <rFont val="WenQuanYi Zen Hei"/>
        <family val="2"/>
      </rPr>
      <t xml:space="preserve">확인</t>
    </r>
    <r>
      <rPr>
        <sz val="9"/>
        <rFont val="맑은 고딕"/>
        <family val="0"/>
        <charset val="1"/>
      </rPr>
      <t xml:space="preserve">)</t>
    </r>
  </si>
  <si>
    <t xml:space="preserve">R-3-4-3</t>
  </si>
  <si>
    <r>
      <rPr>
        <sz val="9"/>
        <rFont val="WenQuanYi Zen Hei"/>
        <family val="2"/>
      </rPr>
      <t xml:space="preserve">짧은 문단을 읽고 주제와 관련 없는 그림이나 문장을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</si>
  <si>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문단을 보여 주고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보기에 주제와 다른 문장을 섞어 넣는다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1 "</t>
    </r>
    <r>
      <rPr>
        <sz val="9"/>
        <rFont val="WenQuanYi Zen Hei"/>
        <family val="2"/>
      </rPr>
      <t xml:space="preserve">코끼리는 큰 동물이에요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코가 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풀과 과일을 먹어요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</si>
  <si>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글의 주제와 관련 없는 문장을 골라 가리킨다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코끼리는 큰 동물이에요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코끼리는 풀을 먹어요</t>
    </r>
    <r>
      <rPr>
        <sz val="9"/>
        <rFont val="맑은 고딕"/>
        <family val="0"/>
        <charset val="1"/>
      </rPr>
      <t xml:space="preserve">. ③ </t>
    </r>
    <r>
      <rPr>
        <sz val="9"/>
        <rFont val="WenQuanYi Zen Hei"/>
        <family val="2"/>
      </rPr>
      <t xml:space="preserve">나는 사자가 더 좋아요</t>
    </r>
    <r>
      <rPr>
        <sz val="9"/>
        <rFont val="맑은 고딕"/>
        <family val="0"/>
        <charset val="1"/>
      </rPr>
      <t xml:space="preserve">. → </t>
    </r>
    <r>
      <rPr>
        <sz val="9"/>
        <rFont val="WenQuanYi Zen Hei"/>
        <family val="2"/>
      </rPr>
      <t xml:space="preserve">정답</t>
    </r>
    <r>
      <rPr>
        <sz val="9"/>
        <rFont val="맑은 고딕"/>
        <family val="0"/>
        <charset val="1"/>
      </rPr>
      <t xml:space="preserve">: ③ ① </t>
    </r>
    <r>
      <rPr>
        <sz val="9"/>
        <rFont val="WenQuanYi Zen Hei"/>
        <family val="2"/>
      </rPr>
      <t xml:space="preserve">코끼리는 큰 동물이에요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코끼리는 풀을 먹어요</t>
    </r>
    <r>
      <rPr>
        <sz val="9"/>
        <rFont val="맑은 고딕"/>
        <family val="0"/>
        <charset val="1"/>
      </rPr>
      <t xml:space="preserve">. ③ </t>
    </r>
    <r>
      <rPr>
        <sz val="9"/>
        <rFont val="WenQuanYi Zen Hei"/>
        <family val="2"/>
      </rPr>
      <t xml:space="preserve">나는 사자가 더 좋아요</t>
    </r>
    <r>
      <rPr>
        <sz val="9"/>
        <rFont val="맑은 고딕"/>
        <family val="0"/>
        <charset val="1"/>
      </rPr>
      <t xml:space="preserve">.</t>
    </r>
  </si>
  <si>
    <t xml:space="preserve">R-4-1-1</t>
  </si>
  <si>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인물을 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여행을 다녀온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했는지 각각 표시한다</t>
    </r>
    <r>
      <rPr>
        <sz val="9"/>
        <rFont val="맑은 고딕"/>
        <family val="0"/>
        <charset val="1"/>
      </rPr>
      <t xml:space="preserve">.</t>
    </r>
  </si>
  <si>
    <t xml:space="preserve">R-4-1-2</t>
  </si>
  <si>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요리방법을 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하루 일과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 방법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일의 순서대로 그림 카드로 나타낸다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</si>
  <si>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일의 순서가 있는 짧은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— </t>
    </r>
    <r>
      <rPr>
        <sz val="9"/>
        <rFont val="WenQuanYi Zen Hei"/>
        <family val="2"/>
      </rPr>
      <t xml:space="preserve">라면 끓이는 방법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먼저 냄비에 물을 넣어요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물이 끓으면 면과 수프를 넣어요</t>
    </r>
    <r>
      <rPr>
        <sz val="9"/>
        <rFont val="맑은 고딕"/>
        <family val="0"/>
        <charset val="1"/>
      </rPr>
      <t xml:space="preserve">. 4</t>
    </r>
    <r>
      <rPr>
        <sz val="9"/>
        <rFont val="WenQuanYi Zen Hei"/>
        <family val="2"/>
      </rPr>
      <t xml:space="preserve">분 후에 불을 끄고 그릇에 담아요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— </t>
    </r>
    <r>
      <rPr>
        <sz val="9"/>
        <rFont val="WenQuanYi Zen Hei"/>
        <family val="2"/>
      </rPr>
      <t xml:space="preserve">학교에 가는 준비를 하는 순서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아침에 일어나서 세수를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옷을 입고 아침밥을 먹어요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그리고 학교에 가요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</si>
  <si>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글의 순서대로 그림 카드를 한 줄로 배열한다</t>
    </r>
    <r>
      <rPr>
        <sz val="9"/>
        <rFont val="맑은 고딕"/>
        <family val="0"/>
        <charset val="1"/>
      </rPr>
      <t xml:space="preserve">.</t>
    </r>
  </si>
  <si>
    <t xml:space="preserve">R-4-1-3</t>
  </si>
  <si>
    <r>
      <rPr>
        <sz val="9"/>
        <rFont val="WenQuanYi Zen Hei"/>
        <family val="2"/>
      </rPr>
      <t xml:space="preserve">짧은 글을 읽고 내용과 맞는 문장에 동그라미를 한다</t>
    </r>
    <r>
      <rPr>
        <sz val="9"/>
        <rFont val="맑은 고딕"/>
        <family val="0"/>
        <charset val="1"/>
      </rPr>
      <t xml:space="preserve">.</t>
    </r>
  </si>
  <si>
    <t xml:space="preserve">R-4-1-4</t>
  </si>
  <si>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동화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등장인물의 기분을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부끄럽다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걱정이 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속상하다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놀라다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</si>
  <si>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일기나 동화를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오늘 학교에서 시험을 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시험을 잘 못 봐서 속상했어요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기분을 나타내는 감정이 드러나는 얼굴 그림 카드를 여러 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부끄럽다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걱정이 되다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속상하다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놀라다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</si>
  <si>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 속 인물의 기분을 나타내는 감정이 드러나는 얼굴 그림 카드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속상하다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손가락으로 가리킨다</t>
    </r>
    <r>
      <rPr>
        <sz val="9"/>
        <rFont val="맑은 고딕"/>
        <family val="0"/>
        <charset val="1"/>
      </rPr>
      <t xml:space="preserve">.</t>
    </r>
  </si>
  <si>
    <t xml:space="preserve">R-4-2-1</t>
  </si>
  <si>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문장 카드를 일이 일어난 순서대로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</si>
  <si>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동화나 이솝 우화의 일부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 — 토끼와 거북이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토끼와 거북이가 달리기를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토끼는 빨리 달려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그리고 나무 아래에서 잠을 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거북이는 천천히 갔지만 쉬지 않았어요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결국 거북이가 이겼어요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문장 카드 네 장을 흩어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</si>
  <si>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일이 일어난 순서대로 문장 카드를 한 줄로 놓는다</t>
    </r>
    <r>
      <rPr>
        <sz val="9"/>
        <rFont val="맑은 고딕"/>
        <family val="0"/>
        <charset val="1"/>
      </rPr>
      <t xml:space="preserve">.</t>
    </r>
  </si>
  <si>
    <t xml:space="preserve">R-4-2-2</t>
  </si>
  <si>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등장인물에게 생긴 일이 나타난 문장을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</si>
  <si>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흥부와 놀부 줄거리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</si>
  <si>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이야기를 읽고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흥부가 제비 다리를 고쳐 줬어요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등장인물에게 생긴 일이 나타난 문장을 찾아 표시한다</t>
    </r>
    <r>
      <rPr>
        <sz val="9"/>
        <rFont val="맑은 고딕"/>
        <family val="0"/>
        <charset val="1"/>
      </rPr>
      <t xml:space="preserve">.</t>
    </r>
  </si>
  <si>
    <t xml:space="preserve">R-4-2-3</t>
  </si>
  <si>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줄거리와 관련 없는 문장을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</si>
  <si>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이야기와 함께 줄거리와 관련 없는 문장을 한두 개 섞어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토끼와 거북이가 경주를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토끼는 잠을 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거북이는 천천히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토끼는 김밥을 좋아해요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</si>
  <si>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토끼는 김밥을 좋아해요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줄거리와 상관없는 문장을 손가락으로 가리킨다</t>
    </r>
    <r>
      <rPr>
        <sz val="9"/>
        <rFont val="맑은 고딕"/>
        <family val="0"/>
        <charset val="1"/>
      </rPr>
      <t xml:space="preserve">.</t>
    </r>
  </si>
  <si>
    <t xml:space="preserve">R-4-3-1</t>
  </si>
  <si>
    <r>
      <rPr>
        <sz val="9"/>
        <rFont val="WenQuanYi Zen Hei"/>
        <family val="2"/>
      </rPr>
      <t xml:space="preserve">교과서의 짧은 설명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글에서 설명하는 대상을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</si>
  <si>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교과서의 짧은 설명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사과는 빨간 과일이에요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영양이 많아요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가을에 많이 나와요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보기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바나나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</si>
  <si>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글이 설명하는 대상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</si>
  <si>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t xml:space="preserve">R-4-3-2</t>
  </si>
  <si>
    <r>
      <rPr>
        <sz val="9"/>
        <rFont val="WenQuanYi Zen Hei"/>
        <family val="2"/>
      </rPr>
      <t xml:space="preserve">교과서의 짧은 이야기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누가 무엇을 했는지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</si>
  <si>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교과서의 짧은 이야기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어제 민수는 도서관에서 책을 읽었어요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그리고 친구와 같이 그림을 그렸어요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보기 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누가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무엇을 했어요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</si>
  <si>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민수가 책을 읽었어요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친구와 그림을 그렸어요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누가 무엇을 했는지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누가 민수 준호 친구와 가족과 생일 무엇을 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그림을 축하를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그렸어요</t>
    </r>
    <r>
      <rPr>
        <sz val="9"/>
        <rFont val="맑은 고딕"/>
        <family val="0"/>
        <charset val="1"/>
      </rPr>
      <t xml:space="preserve">.</t>
    </r>
  </si>
  <si>
    <t xml:space="preserve">R-4-3-3</t>
  </si>
  <si>
    <r>
      <rPr>
        <sz val="9"/>
        <rFont val="WenQuanYi Zen Hei"/>
        <family val="2"/>
      </rPr>
      <t xml:space="preserve">교과서 글에 있는 그림을 보고 글과 관련된 정보를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</si>
  <si>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 글과 함께 그림 한 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 글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민지의 가방에는 책과 공책이 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예 그림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가방 안에 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필통이 그려진 그림</t>
    </r>
  </si>
  <si>
    <r>
      <rPr>
        <sz val="9"/>
        <rFont val="WenQuanYi Zen Hei"/>
        <family val="2"/>
      </rPr>
      <t xml:space="preserve">교과서 글과 그림을 보고 관련된 정보를 고른다</t>
    </r>
    <r>
      <rPr>
        <sz val="9"/>
        <rFont val="맑은 고딕"/>
        <family val="0"/>
        <charset val="1"/>
      </rPr>
      <t xml:space="preserve">.</t>
    </r>
  </si>
  <si>
    <t xml:space="preserve">R-4-3-4</t>
  </si>
  <si>
    <r>
      <rPr>
        <sz val="9"/>
        <rFont val="WenQuanYi Zen Hei"/>
        <family val="2"/>
      </rPr>
      <t xml:space="preserve">교과서 글을 읽고 내용을 묻는 질문에 글 속 낱말을 사용해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</si>
  <si>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 글을 보여 주고 질문을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코끼리는 큰 동물이에요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코가 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풀과 과일을 먹어요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질문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코끼리는 무엇을 먹어요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코끼리는 어디가 길어요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</si>
  <si>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WenQuanYi Zen Hei"/>
        <family val="2"/>
      </rPr>
      <t xml:space="preserve">글 속 낱말을 사용해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풀과 과일이요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코가 길어요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짧게 답한다</t>
    </r>
    <r>
      <rPr>
        <sz val="9"/>
        <rFont val="맑은 고딕"/>
        <family val="0"/>
        <charset val="1"/>
      </rPr>
      <t xml:space="preserve">.</t>
    </r>
  </si>
  <si>
    <t xml:space="preserve">R-4-4-1</t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</si>
  <si>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글에 가장 어울리는 제목을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</si>
  <si>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한 편을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어제 동생과 도서관에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동화책을 빌렸어요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집에서 같이 읽었어요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(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여름에는 날씨가 더워요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사람들은 시원한 물을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수박도 많이 먹어요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3 (</t>
    </r>
    <r>
      <rPr>
        <sz val="9"/>
        <rFont val="WenQuanYi Zen Hei"/>
        <family val="2"/>
      </rPr>
      <t xml:space="preserve">의견을 나타내는 글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저는 학교에서 휴대폰을 쓰면 안 된다고 생각해요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공부에 방해가 되기 때문이에요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제목 보기 세 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</si>
  <si>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글에 가장 어울리는 제목을 골라 가리킨다</t>
    </r>
    <r>
      <rPr>
        <sz val="9"/>
        <rFont val="맑은 고딕"/>
        <family val="0"/>
        <charset val="1"/>
      </rPr>
      <t xml:space="preserve">.</t>
    </r>
  </si>
  <si>
    <t xml:space="preserve">R-4-4-2</t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</si>
  <si>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주제와 관련된 낱말에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</si>
  <si>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겨울이 되면 눈이 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사람들은 두꺼운 옷을 입어요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아이들은 눈사람을 만들어요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</si>
  <si>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글을 읽고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겨울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눈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눈사람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주제와 관련된 낱말에 동그라미를 그린다</t>
    </r>
    <r>
      <rPr>
        <sz val="9"/>
        <rFont val="맑은 고딕"/>
        <family val="0"/>
        <charset val="1"/>
      </rPr>
      <t xml:space="preserve">.</t>
    </r>
  </si>
  <si>
    <t xml:space="preserve">R-4-4-3</t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</si>
  <si>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중심 내용과 맞는 문장을 보기에서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</si>
  <si>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글을 보여 준 뒤 보기 문장 여러 개를 제시한다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우리는 밥을 먹기 전에 손을 꼭 씻어야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손에는 나쁜 세균이 많기 때문이에요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손을 잘 씻어야 병에 걸리지 않고 건강하게 지낼 수 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</si>
  <si>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중심 내용을 찾아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보기</t>
    </r>
    <r>
      <rPr>
        <sz val="9"/>
        <rFont val="맑은 고딕"/>
        <family val="0"/>
        <charset val="1"/>
      </rPr>
      <t xml:space="preserve">: ① </t>
    </r>
    <r>
      <rPr>
        <sz val="9"/>
        <rFont val="WenQuanYi Zen Hei"/>
        <family val="2"/>
      </rPr>
      <t xml:space="preserve">건강을 위해 손을 깨끗이 씻어야 해요</t>
    </r>
    <r>
      <rPr>
        <sz val="9"/>
        <rFont val="맑은 고딕"/>
        <family val="0"/>
        <charset val="1"/>
      </rPr>
      <t xml:space="preserve">. (○ - </t>
    </r>
    <r>
      <rPr>
        <sz val="9"/>
        <rFont val="WenQuanYi Zen Hei"/>
        <family val="2"/>
      </rPr>
      <t xml:space="preserve">전체를 아우르는 중심 내용</t>
    </r>
    <r>
      <rPr>
        <sz val="9"/>
        <rFont val="맑은 고딕"/>
        <family val="0"/>
        <charset val="1"/>
      </rPr>
      <t xml:space="preserve">) ② </t>
    </r>
    <r>
      <rPr>
        <sz val="9"/>
        <rFont val="WenQuanYi Zen Hei"/>
        <family val="2"/>
      </rPr>
      <t xml:space="preserve">손에는 세균이 없다는 글이에요</t>
    </r>
    <r>
      <rPr>
        <sz val="9"/>
        <rFont val="맑은 고딕"/>
        <family val="0"/>
        <charset val="1"/>
      </rPr>
      <t xml:space="preserve">. (✗ - </t>
    </r>
    <r>
      <rPr>
        <sz val="9"/>
        <rFont val="WenQuanYi Zen Hei"/>
        <family val="2"/>
      </rPr>
      <t xml:space="preserve">잘못된 사실</t>
    </r>
    <r>
      <rPr>
        <sz val="9"/>
        <rFont val="맑은 고딕"/>
        <family val="0"/>
        <charset val="1"/>
      </rPr>
      <t xml:space="preserve">) ③ </t>
    </r>
    <r>
      <rPr>
        <sz val="9"/>
        <rFont val="WenQuanYi Zen Hei"/>
        <family val="2"/>
      </rPr>
      <t xml:space="preserve">손을 씻으면 병에 걸린다는 글이에요</t>
    </r>
    <r>
      <rPr>
        <sz val="9"/>
        <rFont val="맑은 고딕"/>
        <family val="0"/>
        <charset val="1"/>
      </rPr>
      <t xml:space="preserve">. (✗ - </t>
    </r>
    <r>
      <rPr>
        <sz val="9"/>
        <rFont val="WenQuanYi Zen Hei"/>
        <family val="2"/>
      </rPr>
      <t xml:space="preserve">잘못된 사실</t>
    </r>
    <r>
      <rPr>
        <sz val="9"/>
        <rFont val="맑은 고딕"/>
        <family val="0"/>
        <charset val="1"/>
      </rPr>
      <t xml:space="preserve">) ① </t>
    </r>
    <r>
      <rPr>
        <sz val="9"/>
        <rFont val="WenQuanYi Zen Hei"/>
        <family val="2"/>
      </rPr>
      <t xml:space="preserve">건강을 위해 손을 깨끗이 씻어야 해요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손에는 세균이 없다는 글이에요</t>
    </r>
    <r>
      <rPr>
        <sz val="9"/>
        <rFont val="맑은 고딕"/>
        <family val="0"/>
        <charset val="1"/>
      </rPr>
      <t xml:space="preserve">. ③ </t>
    </r>
    <r>
      <rPr>
        <sz val="9"/>
        <rFont val="WenQuanYi Zen Hei"/>
        <family val="2"/>
      </rPr>
      <t xml:space="preserve">손을 씻으면 병에 걸린다는 글이에요</t>
    </r>
    <r>
      <rPr>
        <sz val="9"/>
        <rFont val="맑은 고딕"/>
        <family val="0"/>
        <charset val="1"/>
      </rPr>
      <t xml:space="preserve">.</t>
    </r>
  </si>
  <si>
    <t xml:space="preserve">W-1-1-1</t>
  </si>
  <si>
    <r>
      <rPr>
        <sz val="9"/>
        <rFont val="WenQuanYi Zen Hei"/>
        <family val="2"/>
      </rPr>
      <t xml:space="preserve">교사가 제시한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같은 글자를 따라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</si>
  <si>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 카드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다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빈 공책을 학생에게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</si>
  <si>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카드에 적힌 글자를 보고 같은 글자를 따라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가 가 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나 나 나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다 다 다</t>
    </r>
  </si>
  <si>
    <t xml:space="preserve">W-1-1-2</t>
  </si>
  <si>
    <r>
      <rPr>
        <sz val="9"/>
        <rFont val="WenQuanYi Zen Hei"/>
        <family val="2"/>
      </rPr>
      <t xml:space="preserve">그림 옆에 제시된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따라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</si>
  <si>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그림과 낱말이 함께 있는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 그림 </t>
    </r>
    <r>
      <rPr>
        <sz val="9"/>
        <rFont val="맑은 고딕"/>
        <family val="0"/>
        <charset val="1"/>
      </rPr>
      <t xml:space="preserve">+ "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", </t>
    </r>
    <r>
      <rPr>
        <sz val="9"/>
        <rFont val="WenQuanYi Zen Hei"/>
        <family val="2"/>
      </rPr>
      <t xml:space="preserve">우유 그림 </t>
    </r>
    <r>
      <rPr>
        <sz val="9"/>
        <rFont val="맑은 고딕"/>
        <family val="0"/>
        <charset val="1"/>
      </rPr>
      <t xml:space="preserve">+ "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</si>
  <si>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카드의 낱말을 보고 그대로 따라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사과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우유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책</t>
    </r>
  </si>
  <si>
    <t xml:space="preserve">W-1-1-3</t>
  </si>
  <si>
    <r>
      <rPr>
        <sz val="9"/>
        <rFont val="WenQuanYi Zen Hei"/>
        <family val="2"/>
      </rPr>
      <t xml:space="preserve">자기 이름이나 교실에서 자주 쓰는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</si>
  <si>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학생에게 자기 이름이 적힌 이름표와 교실에서 자주 쓰는 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</si>
  <si>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자기 이름과 낱말을 보고 그대로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김민수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학교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교실</t>
    </r>
  </si>
  <si>
    <t xml:space="preserve">W-1-2-1</t>
  </si>
  <si>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획을 차례대로 따라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</si>
  <si>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의 획 순서를 화살표로 표시해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</si>
  <si>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표시된 순서대로 한 획씩 따라 쓰며 글자를 완성한다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라 모 부 차 커 트 해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각 획이 순서대로 이어진 모양으로</t>
    </r>
    <r>
      <rPr>
        <sz val="9"/>
        <rFont val="맑은 고딕"/>
        <family val="0"/>
        <charset val="1"/>
      </rPr>
      <t xml:space="preserve">)</t>
    </r>
  </si>
  <si>
    <t xml:space="preserve">W-1-2-2</t>
  </si>
  <si>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자형에 맞게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</si>
  <si>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사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교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의 자형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자음과 모음의 위치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학생이 빈칸에 글자를 쓸 때 자음과 모음의 위치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간격이 적절하여 글자를 알아볼 수 있는지 확인한다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</si>
  <si>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자음과 모음의 위치가 잘 맞도록 또박또박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사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교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모음 간격이 고른 모양</t>
    </r>
    <r>
      <rPr>
        <sz val="9"/>
        <rFont val="맑은 고딕"/>
        <family val="0"/>
        <charset val="1"/>
      </rPr>
      <t xml:space="preserve">)</t>
    </r>
  </si>
  <si>
    <t xml:space="preserve">W-1-3-1</t>
  </si>
  <si>
    <r>
      <rPr>
        <sz val="9"/>
        <rFont val="WenQuanYi Zen Hei"/>
        <family val="2"/>
      </rPr>
      <t xml:space="preserve">자기 이름을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</si>
  <si>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학생에게 빈 종이를 주고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자기 이름을 한글로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</si>
  <si>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자기 이름을 또박또박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박지은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김막심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응우옌투안</t>
    </r>
  </si>
  <si>
    <t xml:space="preserve">W-1-3-2</t>
  </si>
  <si>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(8, </t>
    </r>
    <r>
      <rPr>
        <sz val="9"/>
        <rFont val="WenQuanYi Zen Hei"/>
        <family val="2"/>
      </rPr>
      <t xml:space="preserve">여덟 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학년</t>
    </r>
    <r>
      <rPr>
        <sz val="9"/>
        <rFont val="맑은 고딕"/>
        <family val="0"/>
        <charset val="1"/>
      </rPr>
      <t xml:space="preserve">(1, 1</t>
    </r>
    <r>
      <rPr>
        <sz val="9"/>
        <rFont val="WenQuanYi Zen Hei"/>
        <family val="2"/>
      </rPr>
      <t xml:space="preserve">학년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숫자와 낱말로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</si>
  <si>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몇 살이에요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몇 학년이에요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묻거나 카드를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</si>
  <si>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나이와 학년을 숫자와 낱말로 함께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: 8 / </t>
    </r>
    <r>
      <rPr>
        <sz val="9"/>
        <rFont val="WenQuanYi Zen Hei"/>
        <family val="2"/>
      </rPr>
      <t xml:space="preserve">여덟 살 학년</t>
    </r>
    <r>
      <rPr>
        <sz val="9"/>
        <rFont val="맑은 고딕"/>
        <family val="0"/>
        <charset val="1"/>
      </rPr>
      <t xml:space="preserve">: 1 / 1</t>
    </r>
    <r>
      <rPr>
        <sz val="9"/>
        <rFont val="WenQuanYi Zen Hei"/>
        <family val="2"/>
      </rPr>
      <t xml:space="preserve">학년</t>
    </r>
  </si>
  <si>
    <t xml:space="preserve">W-1-3-3</t>
  </si>
  <si>
    <r>
      <rPr>
        <sz val="9"/>
        <rFont val="WenQuanYi Zen Hei"/>
        <family val="2"/>
      </rPr>
      <t xml:space="preserve">간단한 인사말을 보고 따라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</si>
  <si>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인사말 카드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고맙습니다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잘 가요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</si>
  <si>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인사말을 보고 그대로 따라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안녕하세요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고맙습니다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잘 가요</t>
    </r>
  </si>
  <si>
    <r>
      <rPr>
        <sz val="9"/>
        <rFont val="WenQuanYi Zen Hei"/>
        <family val="2"/>
      </rPr>
      <t xml:space="preserve">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 -</t>
    </r>
    <r>
      <rPr>
        <sz val="9"/>
        <rFont val="WenQuanYi Zen Hei"/>
        <family val="2"/>
      </rPr>
      <t xml:space="preserve">시각 자료 예시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사물의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등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사물과 일치하는 쓰기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</si>
  <si>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그림이나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</si>
  <si>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시각 자료에 맞는 낱말을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[</t>
    </r>
    <r>
      <rPr>
        <sz val="9"/>
        <rFont val="WenQuanYi Zen Hei"/>
        <family val="2"/>
      </rPr>
      <t xml:space="preserve">공 그림</t>
    </r>
    <r>
      <rPr>
        <sz val="9"/>
        <rFont val="맑은 고딕"/>
        <family val="0"/>
        <charset val="1"/>
      </rPr>
      <t xml:space="preserve">] → </t>
    </r>
    <r>
      <rPr>
        <sz val="9"/>
        <rFont val="WenQuanYi Zen Hei"/>
        <family val="2"/>
      </rPr>
      <t xml:space="preserve">공 </t>
    </r>
    <r>
      <rPr>
        <sz val="9"/>
        <rFont val="맑은 고딕"/>
        <family val="0"/>
        <charset val="1"/>
      </rPr>
      <t xml:space="preserve">/ [</t>
    </r>
    <r>
      <rPr>
        <sz val="9"/>
        <rFont val="WenQuanYi Zen Hei"/>
        <family val="2"/>
      </rPr>
      <t xml:space="preserve">책 그림</t>
    </r>
    <r>
      <rPr>
        <sz val="9"/>
        <rFont val="맑은 고딕"/>
        <family val="0"/>
        <charset val="1"/>
      </rPr>
      <t xml:space="preserve">] → </t>
    </r>
    <r>
      <rPr>
        <sz val="9"/>
        <rFont val="WenQuanYi Zen Hei"/>
        <family val="2"/>
      </rPr>
      <t xml:space="preserve">책 </t>
    </r>
    <r>
      <rPr>
        <sz val="9"/>
        <rFont val="맑은 고딕"/>
        <family val="0"/>
        <charset val="1"/>
      </rPr>
      <t xml:space="preserve">/ [</t>
    </r>
    <r>
      <rPr>
        <sz val="9"/>
        <rFont val="WenQuanYi Zen Hei"/>
        <family val="2"/>
      </rPr>
      <t xml:space="preserve">사과 그림</t>
    </r>
    <r>
      <rPr>
        <sz val="9"/>
        <rFont val="맑은 고딕"/>
        <family val="0"/>
        <charset val="1"/>
      </rPr>
      <t xml:space="preserve">] → </t>
    </r>
    <r>
      <rPr>
        <sz val="9"/>
        <rFont val="WenQuanYi Zen Hei"/>
        <family val="2"/>
      </rPr>
      <t xml:space="preserve">사과 공 책 사과</t>
    </r>
  </si>
  <si>
    <t xml:space="preserve">W-2-1-1</t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</si>
  <si>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물을 마시는 모습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넣어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물을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완성한다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</si>
  <si>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 마시는 사람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주고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기본형 낱말을 참고하여 문장을 작성한다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</si>
  <si>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그림에 맞는 낱말을 넣어 짧은 문장을 완성한다</t>
    </r>
    <r>
      <rPr>
        <sz val="9"/>
        <rFont val="맑은 고딕"/>
        <family val="0"/>
        <charset val="1"/>
      </rPr>
      <t xml:space="preserve">.(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마시다</t>
    </r>
    <r>
      <rPr>
        <sz val="9"/>
        <rFont val="맑은 고딕"/>
        <family val="0"/>
        <charset val="1"/>
      </rPr>
      <t xml:space="preserve">)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물을 마셔요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사과를 먹어요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물 마시는 사람 사과를 먹는 사람 책을 읽는 사람</t>
    </r>
  </si>
  <si>
    <t xml:space="preserve">W-2-1-2</t>
  </si>
  <si>
    <r>
      <rPr>
        <sz val="9"/>
        <rFont val="WenQuanYi Zen Hei"/>
        <family val="2"/>
      </rPr>
      <t xml:space="preserve">교실 물건을 보고 </t>
    </r>
    <r>
      <rPr>
        <sz val="9"/>
        <rFont val="맑은 고딕"/>
        <family val="0"/>
        <charset val="1"/>
      </rPr>
      <t xml:space="preserve">('OO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 있어요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문장으로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</si>
  <si>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교실 물건을 가리키며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교실 안에는 어떤 물건들이 있을까요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</si>
  <si>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책이 있어요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의자가 있어요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공책이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 의자 공책 ✓ 도달 ✓ 미도달 ☐ 학생이 조건에 맞게 썼다</t>
    </r>
    <r>
      <rPr>
        <sz val="9"/>
        <rFont val="맑은 고딕"/>
        <family val="0"/>
        <charset val="1"/>
      </rPr>
      <t xml:space="preserve">. ☐ </t>
    </r>
    <r>
      <rPr>
        <sz val="9"/>
        <rFont val="WenQuanYi Zen Hei"/>
        <family val="2"/>
      </rPr>
      <t xml:space="preserve">학생이 쓰지 못하거나 조건을 충족하지 못했다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관찰 메모 코드</t>
    </r>
    <r>
      <rPr>
        <sz val="9"/>
        <rFont val="맑은 고딕"/>
        <family val="0"/>
        <charset val="1"/>
      </rPr>
      <t xml:space="preserve">: W-2-1-2</t>
    </r>
  </si>
  <si>
    <t xml:space="preserve">W-2-1-3</t>
  </si>
  <si>
    <r>
      <rPr>
        <sz val="9"/>
        <rFont val="WenQuanYi Zen Hei"/>
        <family val="2"/>
      </rPr>
      <t xml:space="preserve">사람이나 동물이 하는 일을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고양이가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</si>
  <si>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사람이나 동물이 하는 일이 담긴 그림을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</si>
  <si>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고양이가 자요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아이가 그림을 그려요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친구가 공을 차요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고양이가 자는 그림 아이가 그림을 그리는 장면 아이가 공을 차는 장면</t>
    </r>
  </si>
  <si>
    <t xml:space="preserve">W-2-2-1</t>
  </si>
  <si>
    <r>
      <rPr>
        <sz val="9"/>
        <rFont val="WenQuanYi Zen Hei"/>
        <family val="2"/>
      </rPr>
      <t xml:space="preserve">교사가 천천히 읽어 주는 익숙한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실제 표기에 맞는 글자로 받아쓴다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</si>
  <si>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익숙한 낱말을 천천히 읽어 준다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문어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공책</t>
    </r>
    <r>
      <rPr>
        <sz val="9"/>
        <rFont val="맑은 고딕"/>
        <family val="0"/>
        <charset val="1"/>
      </rPr>
      <t xml:space="preserve">")</t>
    </r>
  </si>
  <si>
    <r>
      <rPr>
        <sz val="9"/>
        <rFont val="WenQuanYi Zen Hei"/>
        <family val="2"/>
      </rPr>
      <t xml:space="preserve">들은 낱말을 실제 표기에 맞게 받아쓴다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[</t>
    </r>
    <r>
      <rPr>
        <sz val="9"/>
        <rFont val="WenQuanYi Zen Hei"/>
        <family val="2"/>
      </rPr>
      <t xml:space="preserve">줄럼끼</t>
    </r>
    <r>
      <rPr>
        <sz val="9"/>
        <rFont val="맑은 고딕"/>
        <family val="0"/>
        <charset val="1"/>
      </rPr>
      <t xml:space="preserve">]</t>
    </r>
    <r>
      <rPr>
        <sz val="9"/>
        <rFont val="WenQuanYi Zen Hei"/>
        <family val="2"/>
      </rPr>
      <t xml:space="preserve">로 들려도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로</t>
    </r>
    <r>
      <rPr>
        <sz val="9"/>
        <rFont val="맑은 고딕"/>
        <family val="0"/>
        <charset val="1"/>
      </rPr>
      <t xml:space="preserve">)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줄넘기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문어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학교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공책</t>
    </r>
  </si>
  <si>
    <t xml:space="preserve">W-2-2-2</t>
  </si>
  <si>
    <r>
      <rPr>
        <sz val="9"/>
        <rFont val="WenQuanYi Zen Hei"/>
        <family val="2"/>
      </rPr>
      <t xml:space="preserve">그림을 보고 받침이 있는 짧은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앉다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빛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빗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입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잎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뜻에 맞는 글자로 구별하여 받아쓴다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</si>
  <si>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그림과 함께 그림에 해당하는 글자를 읽어준다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(</t>
    </r>
    <r>
      <rPr>
        <sz val="9"/>
        <rFont val="WenQuanYi Zen Hei"/>
        <family val="2"/>
      </rPr>
      <t xml:space="preserve">앉다 그림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앉다</t>
    </r>
    <r>
      <rPr>
        <sz val="9"/>
        <rFont val="맑은 고딕"/>
        <family val="0"/>
        <charset val="1"/>
      </rPr>
      <t xml:space="preserve">" / (</t>
    </r>
    <r>
      <rPr>
        <sz val="9"/>
        <rFont val="WenQuanYi Zen Hei"/>
        <family val="2"/>
      </rPr>
      <t xml:space="preserve">빛 그림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빛</t>
    </r>
    <r>
      <rPr>
        <sz val="9"/>
        <rFont val="맑은 고딕"/>
        <family val="0"/>
        <charset val="1"/>
      </rPr>
      <t xml:space="preserve">" / (</t>
    </r>
    <r>
      <rPr>
        <sz val="9"/>
        <rFont val="WenQuanYi Zen Hei"/>
        <family val="2"/>
      </rPr>
      <t xml:space="preserve">잎 그림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잎</t>
    </r>
    <r>
      <rPr>
        <sz val="9"/>
        <rFont val="맑은 고딕"/>
        <family val="0"/>
        <charset val="1"/>
      </rPr>
      <t xml:space="preserve">")</t>
    </r>
  </si>
  <si>
    <r>
      <rPr>
        <sz val="9"/>
        <rFont val="WenQuanYi Zen Hei"/>
        <family val="2"/>
      </rPr>
      <t xml:space="preserve">들은 발음과 그림의 뜻에 맞는 글자를 구별해 받아쓴다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앉다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빛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잎 앉다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안다 빛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빗 잎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입</t>
    </r>
  </si>
  <si>
    <r>
      <rPr>
        <sz val="9"/>
        <rFont val="WenQuanYi Zen Hei"/>
        <family val="2"/>
      </rPr>
      <t xml:space="preserve">사진 또는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수영하는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축구하는 사진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겪은 일에 관해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수영을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축구를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</si>
  <si>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주말에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무엇을 했어요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</si>
  <si>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주말에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있었던 일을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어제 수영을 했어요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어제 축구를 했어요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어제 그림을 그렸어요</t>
    </r>
    <r>
      <rPr>
        <sz val="9"/>
        <rFont val="맑은 고딕"/>
        <family val="0"/>
        <charset val="1"/>
      </rPr>
      <t xml:space="preserve">.</t>
    </r>
  </si>
  <si>
    <t xml:space="preserve">W-2-4-1</t>
  </si>
  <si>
    <r>
      <rPr>
        <sz val="9"/>
        <rFont val="WenQuanYi Zen Hei"/>
        <family val="2"/>
      </rPr>
      <t xml:space="preserve">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 -</t>
    </r>
    <r>
      <rPr>
        <sz val="9"/>
        <rFont val="WenQuanYi Zen Hei"/>
        <family val="2"/>
      </rPr>
      <t xml:space="preserve">시각 자료 예시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운동회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마트 그림 등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정보를 판단하여 쓰기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</si>
  <si>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운동회나 현장체험학습 준비물 그림이나 사진을 보여 준다</t>
    </r>
    <r>
      <rPr>
        <sz val="9"/>
        <rFont val="맑은 고딕"/>
        <family val="0"/>
        <charset val="1"/>
      </rPr>
      <t xml:space="preserve">. "</t>
    </r>
    <r>
      <rPr>
        <sz val="9"/>
        <rFont val="WenQuanYi Zen Hei"/>
        <family val="2"/>
      </rPr>
      <t xml:space="preserve">무엇이 필요해요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</si>
  <si>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보고 준비물 이름을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</t>
    </r>
  </si>
  <si>
    <t xml:space="preserve">W-2-4-2</t>
  </si>
  <si>
    <r>
      <rPr>
        <sz val="9"/>
        <rFont val="WenQuanYi Zen Hei"/>
        <family val="2"/>
      </rPr>
      <t xml:space="preserve">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스티커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숙제나 해야 할 일을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숙제를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피아노를 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물건을 사요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</si>
  <si>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숙제하는 모습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피아노 치는 모습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물건 사는 모습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 "</t>
    </r>
    <r>
      <rPr>
        <sz val="9"/>
        <rFont val="WenQuanYi Zen Hei"/>
        <family val="2"/>
      </rPr>
      <t xml:space="preserve">무엇을 하고 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</si>
  <si>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한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숙제를 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피아노를 쳐요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물건을 사요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숙제하는 모습 피아노 치는 모습 물건 사는 모습</t>
    </r>
  </si>
  <si>
    <t xml:space="preserve">W-3-1-1</t>
  </si>
  <si>
    <r>
      <rPr>
        <sz val="9"/>
        <rFont val="WenQuanYi Zen Hei"/>
        <family val="2"/>
      </rPr>
      <t xml:space="preserve">대상과 특징을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아기가 웃어요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</si>
  <si>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아기나 사물의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웃는 아기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작은 강아지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 "</t>
    </r>
    <r>
      <rPr>
        <sz val="9"/>
        <rFont val="WenQuanYi Zen Hei"/>
        <family val="2"/>
      </rPr>
      <t xml:space="preserve">아기가 어때요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강아지가 어때요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등 그림에 대한 질문을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</si>
  <si>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한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아기가 웃어요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강아지가 작아요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꽃이 예뻐요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웃는 아기 작은 강아지</t>
    </r>
  </si>
  <si>
    <t xml:space="preserve">W-3-1-2</t>
  </si>
  <si>
    <r>
      <rPr>
        <sz val="9"/>
        <rFont val="WenQuanYi Zen Hei"/>
        <family val="2"/>
      </rPr>
      <t xml:space="preserve">장소를 나타내는 말을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</si>
  <si>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카드를 보여주며</t>
    </r>
    <r>
      <rPr>
        <sz val="9"/>
        <rFont val="맑은 고딕"/>
        <family val="0"/>
        <charset val="1"/>
      </rPr>
      <t xml:space="preserve">)"</t>
    </r>
    <r>
      <rPr>
        <sz val="9"/>
        <rFont val="WenQuanYi Zen Hei"/>
        <family val="2"/>
      </rPr>
      <t xml:space="preserve">어디에서 무엇을 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</si>
  <si>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 카드에 해당하는 장면을 짧은 한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운동장에서 놀아요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도서관에서 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교실에서 공부하는 모습 운동장에서 노는 모습 도서관에서 책을 읽는 모습</t>
    </r>
  </si>
  <si>
    <t xml:space="preserve">W-3-1-3</t>
  </si>
  <si>
    <r>
      <rPr>
        <sz val="9"/>
        <rFont val="WenQuanYi Zen Hei"/>
        <family val="2"/>
      </rPr>
      <t xml:space="preserve">좋아하는 것과 까닭을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축구가 재미있어서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</si>
  <si>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무엇을 좋아해요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왜 좋아해요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</si>
  <si>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까닭을 넣어 짧은 한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축구가 재미있어서 좋아요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사과가 달아서 좋아요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강아지가 귀여워서 좋아요</t>
    </r>
    <r>
      <rPr>
        <sz val="9"/>
        <rFont val="맑은 고딕"/>
        <family val="0"/>
        <charset val="1"/>
      </rPr>
      <t xml:space="preserve">.</t>
    </r>
  </si>
  <si>
    <t xml:space="preserve">W-3-1-4</t>
  </si>
  <si>
    <r>
      <rPr>
        <sz val="9"/>
        <rFont val="WenQuanYi Zen Hei"/>
        <family val="2"/>
      </rPr>
      <t xml:space="preserve">두 가지 행동을 이어서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밥을 먹고 물을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</si>
  <si>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카드를 보여주며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두가지 행동을 이어서 한 문장으로 쓰세요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</si>
  <si>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한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밥을 먹고 물을 마셔요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손을 씻고 밥을 먹어요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책을 읽고 잠을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밥을 먹고 물을 마셔요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손을 씻고 밥을 먹어요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책을 읽고 잠을 자요</t>
    </r>
    <r>
      <rPr>
        <sz val="9"/>
        <rFont val="맑은 고딕"/>
        <family val="0"/>
        <charset val="1"/>
      </rPr>
      <t xml:space="preserve">.</t>
    </r>
  </si>
  <si>
    <t xml:space="preserve">W-3-2-1</t>
  </si>
  <si>
    <r>
      <rPr>
        <sz val="9"/>
        <rFont val="WenQuanYi Zen Hei"/>
        <family val="2"/>
      </rPr>
      <t xml:space="preserve">주어진 두 가지 이상의 낱말을 자연스럽게 이어 문장을 만든다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</si>
  <si>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낱말 카드 두세 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주고 문장을 만들게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</si>
  <si>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문장을 만든다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나는 학교에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학교에서 친구를 만나요</t>
    </r>
    <r>
      <rPr>
        <sz val="9"/>
        <rFont val="맑은 고딕"/>
        <family val="0"/>
        <charset val="1"/>
      </rPr>
      <t xml:space="preserve">.</t>
    </r>
  </si>
  <si>
    <t xml:space="preserve">W-3-2-2</t>
  </si>
  <si>
    <r>
      <rPr>
        <sz val="9"/>
        <rFont val="WenQuanYi Zen Hei"/>
        <family val="2"/>
      </rPr>
      <t xml:space="preserve">문장이 끝나는 곳에 문장부호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마침표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물음표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느낌표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</si>
  <si>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부호가 빠진 문장 카드 세 장을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오늘 날씨가 좋아요</t>
    </r>
    <r>
      <rPr>
        <sz val="9"/>
        <rFont val="맑은 고딕"/>
        <family val="0"/>
        <charset val="1"/>
      </rPr>
      <t xml:space="preserve">( )" / "</t>
    </r>
    <r>
      <rPr>
        <sz val="9"/>
        <rFont val="WenQuanYi Zen Hei"/>
        <family val="2"/>
      </rPr>
      <t xml:space="preserve">어디에 가요</t>
    </r>
    <r>
      <rPr>
        <sz val="9"/>
        <rFont val="맑은 고딕"/>
        <family val="0"/>
        <charset val="1"/>
      </rPr>
      <t xml:space="preserve">( )" / "</t>
    </r>
    <r>
      <rPr>
        <sz val="9"/>
        <rFont val="WenQuanYi Zen Hei"/>
        <family val="2"/>
      </rPr>
      <t xml:space="preserve">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정말 멋져요</t>
    </r>
    <r>
      <rPr>
        <sz val="9"/>
        <rFont val="맑은 고딕"/>
        <family val="0"/>
        <charset val="1"/>
      </rPr>
      <t xml:space="preserve">( )"</t>
    </r>
  </si>
  <si>
    <r>
      <rPr>
        <sz val="9"/>
        <rFont val="WenQuanYi Zen Hei"/>
        <family val="2"/>
      </rPr>
      <t xml:space="preserve">마침표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물음표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느낌표 중 알맞은 부호를 넣는다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오늘 날씨가 좋아요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어디에 가요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정말 멋져요</t>
    </r>
    <r>
      <rPr>
        <sz val="9"/>
        <rFont val="맑은 고딕"/>
        <family val="0"/>
        <charset val="1"/>
      </rPr>
      <t xml:space="preserve">!</t>
    </r>
  </si>
  <si>
    <r>
      <rPr>
        <sz val="9"/>
        <rFont val="WenQuanYi Zen Hei"/>
        <family val="2"/>
      </rPr>
      <t xml:space="preserve">자신을 소개하는 짧은 문단을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</si>
  <si>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자기를 소개하는 글을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</si>
  <si>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 여러 개로 자기를 소개한다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제 이름은 박지은이에요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8</t>
    </r>
    <r>
      <rPr>
        <sz val="9"/>
        <rFont val="WenQuanYi Zen Hei"/>
        <family val="2"/>
      </rPr>
      <t xml:space="preserve">살이에요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학년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반이에요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그림 그리기를 좋아해요</t>
    </r>
    <r>
      <rPr>
        <sz val="9"/>
        <rFont val="맑은 고딕"/>
        <family val="0"/>
        <charset val="1"/>
      </rPr>
      <t xml:space="preserve">.</t>
    </r>
  </si>
  <si>
    <t xml:space="preserve">W-3-3-2</t>
  </si>
  <si>
    <r>
      <rPr>
        <sz val="9"/>
        <rFont val="WenQuanYi Zen Hei"/>
        <family val="2"/>
      </rPr>
      <t xml:space="preserve">친구나 가족을 소개하는 짧은 문단을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</si>
  <si>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친구나 가족을 소개해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</si>
  <si>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 여러 개로 친구나 가족을 소개한다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친구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친구 이름은 민수예요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민수는 키가 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민수는 안경을 썼어요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민수는 착해요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가족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엄마는 친절해요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엄마는 음식을 잘 만드세요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엄마는 김밥을 좋아해요</t>
    </r>
    <r>
      <rPr>
        <sz val="9"/>
        <rFont val="맑은 고딕"/>
        <family val="0"/>
        <charset val="1"/>
      </rPr>
      <t xml:space="preserve">.</t>
    </r>
  </si>
  <si>
    <t xml:space="preserve">W-3-3-3</t>
  </si>
  <si>
    <r>
      <rPr>
        <sz val="9"/>
        <rFont val="WenQuanYi Zen Hei"/>
        <family val="2"/>
      </rPr>
      <t xml:space="preserve">고마운 마음을 전하는 짧은 문단을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</si>
  <si>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고마운 마음을 짧은 글로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</si>
  <si>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문장으로 고마운 마음을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선생님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어제 저를 도와주셔서 고맙습니다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한국어가 더 쉬워졌어요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앞으로도 열심히 공부할게요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고맙습니다</t>
    </r>
    <r>
      <rPr>
        <sz val="9"/>
        <rFont val="맑은 고딕"/>
        <family val="0"/>
        <charset val="1"/>
      </rPr>
      <t xml:space="preserve">.</t>
    </r>
  </si>
  <si>
    <t xml:space="preserve">W-3-3-4</t>
  </si>
  <si>
    <r>
      <rPr>
        <sz val="9"/>
        <rFont val="WenQuanYi Zen Hei"/>
        <family val="2"/>
      </rPr>
      <t xml:space="preserve">미안하거나 축하하는 마음을 짧은 문단으로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</si>
  <si>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미안한 마음이나 축하하는 마음을 짧은 글로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</si>
  <si>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문장으로 마음을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미안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민지야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어제 너의 공책에 물을 쏟았어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미안해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다음부터 조심할게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축하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수호야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축하해</t>
    </r>
    <r>
      <rPr>
        <sz val="9"/>
        <rFont val="맑은 고딕"/>
        <family val="0"/>
        <charset val="1"/>
      </rPr>
      <t xml:space="preserve">! </t>
    </r>
    <r>
      <rPr>
        <sz val="9"/>
        <rFont val="WenQuanYi Zen Hei"/>
        <family val="2"/>
      </rPr>
      <t xml:space="preserve">오늘 정말 즐거운 하루 보내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좋은 선물 많이 받아</t>
    </r>
    <r>
      <rPr>
        <sz val="9"/>
        <rFont val="맑은 고딕"/>
        <family val="0"/>
        <charset val="1"/>
      </rPr>
      <t xml:space="preserve">.</t>
    </r>
  </si>
  <si>
    <t xml:space="preserve">W-3-4-1</t>
  </si>
  <si>
    <r>
      <rPr>
        <sz val="9"/>
        <rFont val="WenQuanYi Zen Hei"/>
        <family val="2"/>
      </rPr>
      <t xml:space="preserve">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한국에 대해 배운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한국을 나타내는 것은 무엇일까요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태극기라고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형태로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</si>
  <si>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한국을 나타내는 것은 무엇일까요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</si>
  <si>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자기 생각을 짧은 한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저는 태극기라고 생각해요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저는 무궁화라고 생각해요</t>
    </r>
    <r>
      <rPr>
        <sz val="9"/>
        <rFont val="맑은 고딕"/>
        <family val="0"/>
        <charset val="1"/>
      </rPr>
      <t xml:space="preserve">.</t>
    </r>
  </si>
  <si>
    <t xml:space="preserve">W-3-4-2</t>
  </si>
  <si>
    <r>
      <rPr>
        <sz val="9"/>
        <rFont val="WenQuanYi Zen Hei"/>
        <family val="2"/>
      </rPr>
      <t xml:space="preserve">자신의 다짐과 생각을 쉬운 표현으로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앞으로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게 하겠습니다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</si>
  <si>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앞으로 어떻게 할 거예요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다짐을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</si>
  <si>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한 문장으로 다짐을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저는 책을 많이 읽을 거예요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저는 친구와 사이 좋게 지낼 거예요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</si>
  <si>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정해진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우리 주변 사람들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벗어나지 않고 두세 문장으로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</si>
  <si>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우리 마을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정해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</si>
  <si>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 두세 개로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우리 마을에는 사과 나무가 많아요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사람들이 친절해요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우리 마을이 좋아요</t>
    </r>
    <r>
      <rPr>
        <sz val="9"/>
        <rFont val="맑은 고딕"/>
        <family val="0"/>
        <charset val="1"/>
      </rPr>
      <t xml:space="preserve">.</t>
    </r>
  </si>
  <si>
    <t xml:space="preserve">W-4-2-1</t>
  </si>
  <si>
    <r>
      <rPr>
        <sz val="9"/>
        <rFont val="WenQuanYi Zen Hei"/>
        <family val="2"/>
      </rPr>
      <t xml:space="preserve">낱말을 자연스럽게 이어 문장을 만든다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연결어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조사 포함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한 후에 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</si>
  <si>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만나다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주고 문장을 만들게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</si>
  <si>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문장을 자연스럽게 만든다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나는 학교에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학교에서 친구를 만나요</t>
    </r>
    <r>
      <rPr>
        <sz val="9"/>
        <rFont val="맑은 고딕"/>
        <family val="0"/>
        <charset val="1"/>
      </rPr>
      <t xml:space="preserve">.</t>
    </r>
  </si>
  <si>
    <t xml:space="preserve">W-4-2-2</t>
  </si>
  <si>
    <r>
      <rPr>
        <sz val="9"/>
        <rFont val="WenQuanYi Zen Hei"/>
        <family val="2"/>
      </rPr>
      <t xml:space="preserve">문장을 알맞게 띄어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</si>
  <si>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띄어쓰기가 어색한 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오늘날씨가좋아요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친구와공원에갔어요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</si>
  <si>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띄어쓰기 단위에 맞게 다시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오늘 날씨가 좋아요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친구와 공원에 갔어요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책 한 권을 빌렸어요</t>
    </r>
    <r>
      <rPr>
        <sz val="9"/>
        <rFont val="맑은 고딕"/>
        <family val="0"/>
        <charset val="1"/>
      </rPr>
      <t xml:space="preserve">.</t>
    </r>
  </si>
  <si>
    <t xml:space="preserve">W-4-3-1</t>
  </si>
  <si>
    <r>
      <rPr>
        <sz val="9"/>
        <rFont val="WenQuanYi Zen Hei"/>
        <family val="2"/>
      </rPr>
      <t xml:space="preserve">오늘 또는 최근에 자신이 겪은 일을 두세 문장으로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</si>
  <si>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오늘이나 최근에 있었던 일을 두세 문장으로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</si>
  <si>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 두세 개로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어제 학교에서 그림을 그렸어요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선생님이 칭찬해 주셨어요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기분이 좋았어요</t>
    </r>
    <r>
      <rPr>
        <sz val="9"/>
        <rFont val="맑은 고딕"/>
        <family val="0"/>
        <charset val="1"/>
      </rPr>
      <t xml:space="preserve">.</t>
    </r>
  </si>
  <si>
    <t xml:space="preserve">W-4-3-2</t>
  </si>
  <si>
    <r>
      <rPr>
        <sz val="9"/>
        <rFont val="WenQuanYi Zen Hei"/>
        <family val="2"/>
      </rPr>
      <t xml:space="preserve">기분을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부끄럽다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걱정이 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속상하다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놀라다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사용하여 일기를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</si>
  <si>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오늘 있었던 일과 기분을 일기로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</si>
  <si>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문장으로 일기를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오늘은 운동회를 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친구들과 달리기를 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즐거웠다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 운동회도 기대된다</t>
    </r>
    <r>
      <rPr>
        <sz val="9"/>
        <rFont val="맑은 고딕"/>
        <family val="0"/>
        <charset val="1"/>
      </rPr>
      <t xml:space="preserve">.</t>
    </r>
  </si>
  <si>
    <t xml:space="preserve">W-4-4-1</t>
  </si>
  <si>
    <r>
      <rPr>
        <sz val="9"/>
        <rFont val="WenQuanYi Zen Hei"/>
        <family val="2"/>
      </rPr>
      <t xml:space="preserve">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한국에 대해 배운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한국을 나타내는 것은 무엇일까요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두세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태극기는 한국을 나타냅니다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무궁화도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</si>
  <si>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 두세 개로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태극기는 한국 국기예요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무궁화는 한국의 꽃이에요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한복은 한국의 옷이에요</t>
    </r>
    <r>
      <rPr>
        <sz val="9"/>
        <rFont val="맑은 고딕"/>
        <family val="0"/>
        <charset val="1"/>
      </rPr>
      <t xml:space="preserve">.</t>
    </r>
  </si>
  <si>
    <t xml:space="preserve">W-4-4-2</t>
  </si>
  <si>
    <r>
      <rPr>
        <sz val="9"/>
        <rFont val="WenQuanYi Zen Hei"/>
        <family val="2"/>
      </rPr>
      <t xml:space="preserve">수업 활동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교통 안전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생활 안전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재난 안전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후 알게 된 점이나 느낀 점을 두세 문장으로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</si>
  <si>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활동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교통 안전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생활 안전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재난 안전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오늘 무엇을 배웠어요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어땠어요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</si>
  <si>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 두세 개로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오늘 교통 안전을 배웠어요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길에서 신호등을 봐야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안전이 정말 중요해요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</si>
  <si>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 등 학용품 그림 카드나 실물을 늘어놓고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공책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라고 한 단어씩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</si>
  <si>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말할 때마다 학용품의 그림이나 실물을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연필 지우개 공책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</si>
  <si>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김치 등 음식 그림이나 실물 모형을 보여 주고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빵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이라고 한 단어씩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</si>
  <si>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말할 때마다 음식의 그림이나 모형을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사과 포도 우유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</si>
  <si>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신발 등 생활 용품 그림이나 실물을 보여 주고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라고 한 단어씩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</si>
  <si>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말할 때마다 생활 용품의 그림이나 실물을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모자 가방 책상 의자</t>
    </r>
  </si>
  <si>
    <r>
      <rPr>
        <sz val="9"/>
        <rFont val="WenQuanYi Zen Hei"/>
        <family val="2"/>
      </rPr>
      <t xml:space="preserve">만나고 헤어지는 상황에서 다음 인사말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?" ② "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내일 봐요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</si>
  <si>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교사의 인사말을 듣고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상황에 맞는 인사말로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</si>
  <si>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손을 흔들거나 고개를 숙이는 등 인사말에 어울리는 표정이나 몸짓을 보인다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</si>
  <si>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교실에서 사용하는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준비물을 꺼내세요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자리에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</si>
  <si>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지시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준비물을 꺼내세요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자리에 앉으세요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줄을 서세요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</si>
  <si>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교실에서 방향을 포함한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오른손을 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앞으로 나오세요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</si>
  <si>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방향 지시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오른손을 드세요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앞으로 나오세요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왼쪽으로 가세요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</si>
  <si>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교사의 지시를 듣고 알맞은 방향으로 움직이거나 손을 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</si>
  <si>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해당 그림이나 실물을 손가락으로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</si>
  <si>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 등의 그림이나 실물을 늘어놓고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체육관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물병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이라고 한 단어씩 천천히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</si>
  <si>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말할 때마다 낱말에 해당하는 그림이나 실물을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체육관 보건실 줄넘기 물병</t>
    </r>
  </si>
  <si>
    <r>
      <rPr>
        <sz val="9"/>
        <rFont val="WenQuanYi Zen Hei"/>
        <family val="2"/>
      </rPr>
      <t xml:space="preserve">도움을 요청하는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마트가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마트는 꽃집 옆에 있어요</t>
    </r>
    <r>
      <rPr>
        <sz val="9"/>
        <rFont val="맑은 고딕"/>
        <family val="0"/>
        <charset val="1"/>
      </rPr>
      <t xml:space="preserve">. , </t>
    </r>
    <r>
      <rPr>
        <sz val="9"/>
        <rFont val="WenQuanYi Zen Hei"/>
        <family val="2"/>
      </rPr>
      <t xml:space="preserve">화장실은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화장실은 공원 안에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어디에 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마트는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적절한 답을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</si>
  <si>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길을 묻는 짧은 대화를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마트가 어디에 있어요</t>
    </r>
    <r>
      <rPr>
        <sz val="9"/>
        <rFont val="맑은 고딕"/>
        <family val="0"/>
        <charset val="1"/>
      </rPr>
      <t xml:space="preserve">?" - "</t>
    </r>
    <r>
      <rPr>
        <sz val="9"/>
        <rFont val="WenQuanYi Zen Hei"/>
        <family val="2"/>
      </rPr>
      <t xml:space="preserve">마트는 꽃집 옆에 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마트는 어디에 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</si>
  <si>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꽃집 옆에 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들은 정보로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</si>
  <si>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묻는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안내된 정보를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</si>
  <si>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묻고 답하는 짧은 대화를 들려준다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?" — "1,000</t>
    </r>
    <r>
      <rPr>
        <sz val="9"/>
        <rFont val="WenQuanYi Zen Hei"/>
        <family val="2"/>
      </rPr>
      <t xml:space="preserve">원이에요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?" — "3</t>
    </r>
    <r>
      <rPr>
        <sz val="9"/>
        <rFont val="WenQuanYi Zen Hei"/>
        <family val="2"/>
      </rPr>
      <t xml:space="preserve">시예요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어디에서 와요</t>
    </r>
    <r>
      <rPr>
        <sz val="9"/>
        <rFont val="맑은 고딕"/>
        <family val="0"/>
        <charset val="1"/>
      </rPr>
      <t xml:space="preserve">?" — "</t>
    </r>
    <r>
      <rPr>
        <sz val="9"/>
        <rFont val="WenQuanYi Zen Hei"/>
        <family val="2"/>
      </rPr>
      <t xml:space="preserve">집에서 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 카드를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</si>
  <si>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대화에서 들은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보기를 손가락으로 가리킨다</t>
    </r>
    <r>
      <rPr>
        <sz val="9"/>
        <rFont val="맑은 고딕"/>
        <family val="0"/>
        <charset val="1"/>
      </rPr>
      <t xml:space="preserve">. 1000</t>
    </r>
    <r>
      <rPr>
        <sz val="9"/>
        <rFont val="WenQuanYi Zen Hei"/>
        <family val="2"/>
      </rPr>
      <t xml:space="preserve">원 </t>
    </r>
    <r>
      <rPr>
        <sz val="9"/>
        <rFont val="맑은 고딕"/>
        <family val="0"/>
        <charset val="1"/>
      </rPr>
      <t xml:space="preserve">2000</t>
    </r>
    <r>
      <rPr>
        <sz val="9"/>
        <rFont val="WenQuanYi Zen Hei"/>
        <family val="2"/>
      </rPr>
      <t xml:space="preserve">원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4</t>
    </r>
    <r>
      <rPr>
        <sz val="9"/>
        <rFont val="WenQuanYi Zen Hei"/>
        <family val="2"/>
      </rPr>
      <t xml:space="preserve">시 집 학교</t>
    </r>
  </si>
  <si>
    <r>
      <rPr>
        <sz val="9"/>
        <rFont val="WenQuanYi Zen Hei"/>
        <family val="2"/>
      </rPr>
      <t xml:space="preserve">감정을 나타내는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기분이 어때요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화가 나요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감정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</si>
  <si>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감정을 나타내는 짧은 대화를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기분이 어때요</t>
    </r>
    <r>
      <rPr>
        <sz val="9"/>
        <rFont val="맑은 고딕"/>
        <family val="0"/>
        <charset val="1"/>
      </rPr>
      <t xml:space="preserve">?" - "</t>
    </r>
    <r>
      <rPr>
        <sz val="9"/>
        <rFont val="WenQuanYi Zen Hei"/>
        <family val="2"/>
      </rPr>
      <t xml:space="preserve">좋아요</t>
    </r>
    <r>
      <rPr>
        <sz val="9"/>
        <rFont val="맑은 고딕"/>
        <family val="0"/>
        <charset val="1"/>
      </rPr>
      <t xml:space="preserve">."/ "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."/ "</t>
    </r>
    <r>
      <rPr>
        <sz val="9"/>
        <rFont val="WenQuanYi Zen Hei"/>
        <family val="2"/>
      </rPr>
      <t xml:space="preserve">즐거워요</t>
    </r>
    <r>
      <rPr>
        <sz val="9"/>
        <rFont val="맑은 고딕"/>
        <family val="0"/>
        <charset val="1"/>
      </rPr>
      <t xml:space="preserve">."/ "</t>
    </r>
    <r>
      <rPr>
        <sz val="9"/>
        <rFont val="WenQuanYi Zen Hei"/>
        <family val="2"/>
      </rPr>
      <t xml:space="preserve">화가 나요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감정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웃는 얼굴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화난 얼굴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우는 얼굴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</si>
  <si>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대화에서 들은 감정에 맞는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기분이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화가 나요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</si>
  <si>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교사의 수업 안내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종이를 접으세요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교과서를 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</si>
  <si>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수업 안내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종이를 접으세요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교과서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쪽을 펴세요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</si>
  <si>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주변 사물의 위치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의자 옆에 피아노가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그림을 손가락으로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</si>
  <si>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 카드를 보고 사물의 위치를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의자 옆에 피아노가 있어요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책상 위에 컵이 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그림을 여러 장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</si>
  <si>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들은 위치 설명과 맞는 그림을 손가락으로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</si>
  <si>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주변 사물의 색깔이나 크기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높은 의자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파란 자동차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맞는 사물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</si>
  <si>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높은 의자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파란 자동차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작은 가방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색깔이나 크기를 포함한 말을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</si>
  <si>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들은 말에 맞는 사물 그림을 골라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높은 의자 낮은 의자 파란 자동차 빨간 자동차 작은 가방 큰 가방</t>
    </r>
  </si>
  <si>
    <r>
      <rPr>
        <sz val="9"/>
        <rFont val="WenQuanYi Zen Hei"/>
        <family val="2"/>
      </rPr>
      <t xml:space="preserve">교사가 천천히 말한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크레파스와 색연필이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문장과 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</si>
  <si>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카드 </t>
    </r>
    <r>
      <rPr>
        <sz val="9"/>
        <rFont val="맑은 고딕"/>
        <family val="0"/>
        <charset val="1"/>
      </rPr>
      <t xml:space="preserve">3~4</t>
    </r>
    <r>
      <rPr>
        <sz val="9"/>
        <rFont val="WenQuanYi Zen Hei"/>
        <family val="2"/>
      </rPr>
      <t xml:space="preserve">장을 학생 앞에 놓고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다음 문장 중 하나를 천천히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가방 안에 크레파스와 색연필이 있어요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책상 위에 책과 공책이 있어요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필통 안에 연필과 지우개가 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</si>
  <si>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교사가 천천히 말한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무슨 요일이예요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</si>
  <si>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질문 중 하나를 천천히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오늘은 무슨 요일이에요</t>
    </r>
    <r>
      <rPr>
        <sz val="9"/>
        <rFont val="맑은 고딕"/>
        <family val="0"/>
        <charset val="1"/>
      </rPr>
      <t xml:space="preserve">?" ② "</t>
    </r>
    <r>
      <rPr>
        <sz val="9"/>
        <rFont val="WenQuanYi Zen Hei"/>
        <family val="2"/>
      </rPr>
      <t xml:space="preserve">오늘 날씨는 어때요</t>
    </r>
    <r>
      <rPr>
        <sz val="9"/>
        <rFont val="맑은 고딕"/>
        <family val="0"/>
        <charset val="1"/>
      </rPr>
      <t xml:space="preserve">?" ③ "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</si>
  <si>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수요일이에요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맑아요</t>
    </r>
    <r>
      <rPr>
        <sz val="9"/>
        <rFont val="맑은 고딕"/>
        <family val="0"/>
        <charset val="1"/>
      </rPr>
      <t xml:space="preserve">.", "10</t>
    </r>
    <r>
      <rPr>
        <sz val="9"/>
        <rFont val="WenQuanYi Zen Hei"/>
        <family val="2"/>
      </rPr>
      <t xml:space="preserve">시예요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짧은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</si>
  <si>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천천히 말한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부모님께 보여 드리세요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큰 소리로 말하세요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</si>
  <si>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지시 중 하나를 천천히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부모님께 보여 드리세요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큰 소리로 말하세요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</si>
  <si>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 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생일초대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질문에 알맞게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</si>
  <si>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대화 중 하나를 학생에게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대화 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현장체험학습 장소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다음 주에 현장체험학습으로 박물관에 간대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너무 기대돼</t>
    </r>
    <r>
      <rPr>
        <sz val="9"/>
        <rFont val="맑은 고딕"/>
        <family val="0"/>
        <charset val="1"/>
      </rPr>
      <t xml:space="preserve">." - "</t>
    </r>
    <r>
      <rPr>
        <sz val="9"/>
        <rFont val="WenQuanYi Zen Hei"/>
        <family val="2"/>
      </rPr>
      <t xml:space="preserve">그래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박물관에 가면 뭐가 좋은데</t>
    </r>
    <r>
      <rPr>
        <sz val="9"/>
        <rFont val="맑은 고딕"/>
        <family val="0"/>
        <charset val="1"/>
      </rPr>
      <t xml:space="preserve">?" - "</t>
    </r>
    <r>
      <rPr>
        <sz val="9"/>
        <rFont val="WenQuanYi Zen Hei"/>
        <family val="2"/>
      </rPr>
      <t xml:space="preserve">박물관에서는 옛날 물건을 볼 수 있어서 좋아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대화 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나는 학교가 끝나면 미술 학원에 가</t>
    </r>
    <r>
      <rPr>
        <sz val="9"/>
        <rFont val="맑은 고딕"/>
        <family val="0"/>
        <charset val="1"/>
      </rPr>
      <t xml:space="preserve">."- "</t>
    </r>
    <r>
      <rPr>
        <sz val="9"/>
        <rFont val="WenQuanYi Zen Hei"/>
        <family val="2"/>
      </rPr>
      <t xml:space="preserve">가서 무엇을 하는데</t>
    </r>
    <r>
      <rPr>
        <sz val="9"/>
        <rFont val="맑은 고딕"/>
        <family val="0"/>
        <charset val="1"/>
      </rPr>
      <t xml:space="preserve">?" - "</t>
    </r>
    <r>
      <rPr>
        <sz val="9"/>
        <rFont val="WenQuanYi Zen Hei"/>
        <family val="2"/>
      </rPr>
      <t xml:space="preserve">거기에서 그림을 그려</t>
    </r>
    <r>
      <rPr>
        <sz val="9"/>
        <rFont val="맑은 고딕"/>
        <family val="0"/>
        <charset val="1"/>
      </rPr>
      <t xml:space="preserve">." - "</t>
    </r>
    <r>
      <rPr>
        <sz val="9"/>
        <rFont val="WenQuanYi Zen Hei"/>
        <family val="2"/>
      </rPr>
      <t xml:space="preserve">일주일에 몇 번 가는데</t>
    </r>
    <r>
      <rPr>
        <sz val="9"/>
        <rFont val="맑은 고딕"/>
        <family val="0"/>
        <charset val="1"/>
      </rPr>
      <t xml:space="preserve">?" - "</t>
    </r>
    <r>
      <rPr>
        <sz val="9"/>
        <rFont val="WenQuanYi Zen Hei"/>
        <family val="2"/>
      </rPr>
      <t xml:space="preserve">일주일에 세 번 가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대화 </t>
    </r>
    <r>
      <rPr>
        <sz val="9"/>
        <rFont val="맑은 고딕"/>
        <family val="0"/>
        <charset val="1"/>
      </rPr>
      <t xml:space="preserve">3(</t>
    </r>
    <r>
      <rPr>
        <sz val="9"/>
        <rFont val="WenQuanYi Zen Hei"/>
        <family val="2"/>
      </rPr>
      <t xml:space="preserve">생일 초대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내일은 내 생일이야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집에서 생일파티 하자</t>
    </r>
    <r>
      <rPr>
        <sz val="9"/>
        <rFont val="맑은 고딕"/>
        <family val="0"/>
        <charset val="1"/>
      </rPr>
      <t xml:space="preserve">" - "</t>
    </r>
    <r>
      <rPr>
        <sz val="9"/>
        <rFont val="WenQuanYi Zen Hei"/>
        <family val="2"/>
      </rPr>
      <t xml:space="preserve">생일 축하해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초대해줘서 고마워</t>
    </r>
    <r>
      <rPr>
        <sz val="9"/>
        <rFont val="맑은 고딕"/>
        <family val="0"/>
        <charset val="1"/>
      </rPr>
      <t xml:space="preserve">." - "</t>
    </r>
    <r>
      <rPr>
        <sz val="9"/>
        <rFont val="WenQuanYi Zen Hei"/>
        <family val="2"/>
      </rPr>
      <t xml:space="preserve">같이 케이크를 먹자</t>
    </r>
    <r>
      <rPr>
        <sz val="9"/>
        <rFont val="맑은 고딕"/>
        <family val="0"/>
        <charset val="1"/>
      </rPr>
      <t xml:space="preserve">." - "</t>
    </r>
    <r>
      <rPr>
        <sz val="9"/>
        <rFont val="WenQuanYi Zen Hei"/>
        <family val="2"/>
      </rPr>
      <t xml:space="preserve">좋아</t>
    </r>
    <r>
      <rPr>
        <sz val="9"/>
        <rFont val="맑은 고딕"/>
        <family val="0"/>
        <charset val="1"/>
      </rPr>
      <t xml:space="preserve">! </t>
    </r>
    <r>
      <rPr>
        <sz val="9"/>
        <rFont val="WenQuanYi Zen Hei"/>
        <family val="2"/>
      </rPr>
      <t xml:space="preserve">생일 선물도 준비해서 갈게</t>
    </r>
    <r>
      <rPr>
        <sz val="9"/>
        <rFont val="맑은 고딕"/>
        <family val="0"/>
        <charset val="1"/>
      </rPr>
      <t xml:space="preserve">!"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현장체험학습은 어디로 가요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학원에서 무엇을 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생일은 언제예요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같은 질문을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</si>
  <si>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박물관에 가요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그림을 그려요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내일이에요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들은 내용에 맞게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</si>
  <si>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 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생일초대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</si>
  <si>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대화 중 하나를 학생에게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대화 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현장체험학습 장소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다음 주에 현장체험학습으로 박물관에 간대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너무 기대돼</t>
    </r>
    <r>
      <rPr>
        <sz val="9"/>
        <rFont val="맑은 고딕"/>
        <family val="0"/>
        <charset val="1"/>
      </rPr>
      <t xml:space="preserve">." - "</t>
    </r>
    <r>
      <rPr>
        <sz val="9"/>
        <rFont val="WenQuanYi Zen Hei"/>
        <family val="2"/>
      </rPr>
      <t xml:space="preserve">그래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박물관에 가면 뭐가 좋은데</t>
    </r>
    <r>
      <rPr>
        <sz val="9"/>
        <rFont val="맑은 고딕"/>
        <family val="0"/>
        <charset val="1"/>
      </rPr>
      <t xml:space="preserve">?" - "</t>
    </r>
    <r>
      <rPr>
        <sz val="9"/>
        <rFont val="WenQuanYi Zen Hei"/>
        <family val="2"/>
      </rPr>
      <t xml:space="preserve">박물관에서는 옛날 물건을 볼 수 있어서 좋아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대화 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나는 학교가 끝나면 미술 학원에 가</t>
    </r>
    <r>
      <rPr>
        <sz val="9"/>
        <rFont val="맑은 고딕"/>
        <family val="0"/>
        <charset val="1"/>
      </rPr>
      <t xml:space="preserve">."- "</t>
    </r>
    <r>
      <rPr>
        <sz val="9"/>
        <rFont val="WenQuanYi Zen Hei"/>
        <family val="2"/>
      </rPr>
      <t xml:space="preserve">가서 무엇을 하는데</t>
    </r>
    <r>
      <rPr>
        <sz val="9"/>
        <rFont val="맑은 고딕"/>
        <family val="0"/>
        <charset val="1"/>
      </rPr>
      <t xml:space="preserve">?" - "</t>
    </r>
    <r>
      <rPr>
        <sz val="9"/>
        <rFont val="WenQuanYi Zen Hei"/>
        <family val="2"/>
      </rPr>
      <t xml:space="preserve">거기에서 그림을 그려</t>
    </r>
    <r>
      <rPr>
        <sz val="9"/>
        <rFont val="맑은 고딕"/>
        <family val="0"/>
        <charset val="1"/>
      </rPr>
      <t xml:space="preserve">." - "</t>
    </r>
    <r>
      <rPr>
        <sz val="9"/>
        <rFont val="WenQuanYi Zen Hei"/>
        <family val="2"/>
      </rPr>
      <t xml:space="preserve">일주일에 몇 번 가는데</t>
    </r>
    <r>
      <rPr>
        <sz val="9"/>
        <rFont val="맑은 고딕"/>
        <family val="0"/>
        <charset val="1"/>
      </rPr>
      <t xml:space="preserve">?" - "</t>
    </r>
    <r>
      <rPr>
        <sz val="9"/>
        <rFont val="WenQuanYi Zen Hei"/>
        <family val="2"/>
      </rPr>
      <t xml:space="preserve">일주일에 세 번 가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대화 </t>
    </r>
    <r>
      <rPr>
        <sz val="9"/>
        <rFont val="맑은 고딕"/>
        <family val="0"/>
        <charset val="1"/>
      </rPr>
      <t xml:space="preserve">3(</t>
    </r>
    <r>
      <rPr>
        <sz val="9"/>
        <rFont val="WenQuanYi Zen Hei"/>
        <family val="2"/>
      </rPr>
      <t xml:space="preserve">생일 초대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내일은 내 생일이야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집에서 생일파티 하자</t>
    </r>
    <r>
      <rPr>
        <sz val="9"/>
        <rFont val="맑은 고딕"/>
        <family val="0"/>
        <charset val="1"/>
      </rPr>
      <t xml:space="preserve">" - "</t>
    </r>
    <r>
      <rPr>
        <sz val="9"/>
        <rFont val="WenQuanYi Zen Hei"/>
        <family val="2"/>
      </rPr>
      <t xml:space="preserve">생일 축하해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초대해줘서 고마워</t>
    </r>
    <r>
      <rPr>
        <sz val="9"/>
        <rFont val="맑은 고딕"/>
        <family val="0"/>
        <charset val="1"/>
      </rPr>
      <t xml:space="preserve">." - "</t>
    </r>
    <r>
      <rPr>
        <sz val="9"/>
        <rFont val="WenQuanYi Zen Hei"/>
        <family val="2"/>
      </rPr>
      <t xml:space="preserve">같이 케이크를 먹자</t>
    </r>
    <r>
      <rPr>
        <sz val="9"/>
        <rFont val="맑은 고딕"/>
        <family val="0"/>
        <charset val="1"/>
      </rPr>
      <t xml:space="preserve">." - "</t>
    </r>
    <r>
      <rPr>
        <sz val="9"/>
        <rFont val="WenQuanYi Zen Hei"/>
        <family val="2"/>
      </rPr>
      <t xml:space="preserve">좋아</t>
    </r>
    <r>
      <rPr>
        <sz val="9"/>
        <rFont val="맑은 고딕"/>
        <family val="0"/>
        <charset val="1"/>
      </rPr>
      <t xml:space="preserve">! </t>
    </r>
    <r>
      <rPr>
        <sz val="9"/>
        <rFont val="WenQuanYi Zen Hei"/>
        <family val="2"/>
      </rPr>
      <t xml:space="preserve">생일 선물도 준비해서 갈게</t>
    </r>
    <r>
      <rPr>
        <sz val="9"/>
        <rFont val="맑은 고딕"/>
        <family val="0"/>
        <charset val="1"/>
      </rPr>
      <t xml:space="preserve">!" </t>
    </r>
    <r>
      <rPr>
        <sz val="9"/>
        <rFont val="WenQuanYi Zen Hei"/>
        <family val="2"/>
      </rPr>
      <t xml:space="preserve">그림 카드를 여러 개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</si>
  <si>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대화에 나온 주요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해당하는 그림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박물관 옛날 물건 미술 학원 그림 집 케이크</t>
    </r>
  </si>
  <si>
    <r>
      <rPr>
        <sz val="9"/>
        <rFont val="WenQuanYi Zen Hei"/>
        <family val="2"/>
      </rPr>
      <t xml:space="preserve">겪은 일에 관한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토요일에 가족과 공원에 가서 자전거를 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일요일에는 집에서 책을 읽었어요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어제 한 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어제 학교가 끝나고 친구와 도서관에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거기에서 같이 숙제를 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3(</t>
    </r>
    <r>
      <rPr>
        <sz val="9"/>
        <rFont val="WenQuanYi Zen Hei"/>
        <family val="2"/>
      </rPr>
      <t xml:space="preserve">지난주 한 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지난주에 가족과 마트에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거기에서 과일과 우유를 샀어요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</si>
  <si>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이야기에 나온 장소에 해당하는 그림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공원 집 학교 도서관 마트</t>
    </r>
  </si>
  <si>
    <r>
      <rPr>
        <sz val="9"/>
        <rFont val="WenQuanYi Zen Hei"/>
        <family val="2"/>
      </rPr>
      <t xml:space="preserve">장소가 차례로 바뀌는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토요일 아침에 집에서 출발했어요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먼저 동물원에 가서 사자를 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점심에는 바닷가에 가서 회를 먹었어요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저녁에는 공원에서 불꽃놀이를 봤어요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장소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동물원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바닷가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학생 앞에 흩어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</si>
  <si>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 속 장소를 순서대로 카드로 배열한다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 → 동물원 → 바닷가 → 공원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집 동물원 바닷가 공원</t>
    </r>
  </si>
  <si>
    <r>
      <rPr>
        <sz val="9"/>
        <rFont val="WenQuanYi Zen Hei"/>
        <family val="2"/>
      </rPr>
      <t xml:space="preserve">겪은 일에 관한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지난 주말에 우리 가족은 마트에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거기에서 우유와 사과를 샀어요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 와서 같이 먹었어요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두세 문장 보기를 보여 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가족이 마트에 갔어요</t>
    </r>
    <r>
      <rPr>
        <sz val="9"/>
        <rFont val="맑은 고딕"/>
        <family val="0"/>
        <charset val="1"/>
      </rPr>
      <t xml:space="preserve">. (○) ② </t>
    </r>
    <r>
      <rPr>
        <sz val="9"/>
        <rFont val="WenQuanYi Zen Hei"/>
        <family val="2"/>
      </rPr>
      <t xml:space="preserve">우유와 사과를 샀어요</t>
    </r>
    <r>
      <rPr>
        <sz val="9"/>
        <rFont val="맑은 고딕"/>
        <family val="0"/>
        <charset val="1"/>
      </rPr>
      <t xml:space="preserve">. (○) ③ </t>
    </r>
    <r>
      <rPr>
        <sz val="9"/>
        <rFont val="WenQuanYi Zen Hei"/>
        <family val="2"/>
      </rPr>
      <t xml:space="preserve">동물원에서 코끼리를 봤어요</t>
    </r>
    <r>
      <rPr>
        <sz val="9"/>
        <rFont val="맑은 고딕"/>
        <family val="0"/>
        <charset val="1"/>
      </rPr>
      <t xml:space="preserve">. (✗)</t>
    </r>
  </si>
  <si>
    <r>
      <rPr>
        <sz val="9"/>
        <rFont val="WenQuanYi Zen Hei"/>
        <family val="2"/>
      </rPr>
      <t xml:space="preserve">이야기 내용과 일치하는 문장</t>
    </r>
    <r>
      <rPr>
        <sz val="9"/>
        <rFont val="맑은 고딕"/>
        <family val="0"/>
        <charset val="1"/>
      </rPr>
      <t xml:space="preserve">(①, ②)</t>
    </r>
    <r>
      <rPr>
        <sz val="9"/>
        <rFont val="WenQuanYi Zen Hei"/>
        <family val="2"/>
      </rPr>
      <t xml:space="preserve">에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</si>
  <si>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새해 계획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인물과 행동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다짐했다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공부를 열심히 하겠다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알맞게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</si>
  <si>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보며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새해 계획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민지는 새해에 일찍 일어나기로 다짐했어요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민수는 학교 공부도 열심히 하겠다고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수진이는 운동을 매일 </t>
    </r>
    <r>
      <rPr>
        <sz val="9"/>
        <rFont val="맑은 고딕"/>
        <family val="0"/>
        <charset val="1"/>
      </rPr>
      <t xml:space="preserve">30</t>
    </r>
    <r>
      <rPr>
        <sz val="9"/>
        <rFont val="WenQuanYi Zen Hei"/>
        <family val="2"/>
      </rPr>
      <t xml:space="preserve">분씩 하기로 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학생 앞에 인물과 행동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일찍 일어나기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공부하기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운동하기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늘어놓는다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</si>
  <si>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이야기를 듣고 인물과 알맞은 행동을 짝지어 선으로 잇거나 카드를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</si>
  <si>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보며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할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행사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무엇을 할 것인가요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가족들이 무엇을 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알맞은 답을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</si>
  <si>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보며 짧은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방학에 할 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이번 방학에 우리 가족은 부산으로 여행을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바다도 보고 회도 먹을 거예요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이야기 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가족 행사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지난주 일요일에 우리 가족은 할머니 댁에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할머니가 만든 떡볶이를 먹었어요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방학동안 무엇을 할 거예요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가족들이 무엇을 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</si>
  <si>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들은 내용이 나타난 그림 카드를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</si>
  <si>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대화나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마트에서 물건 사기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했는지 보기에서 각각 고른다</t>
    </r>
    <r>
      <rPr>
        <sz val="9"/>
        <rFont val="맑은 고딕"/>
        <family val="0"/>
        <charset val="1"/>
      </rPr>
      <t xml:space="preserve">. -</t>
    </r>
    <r>
      <rPr>
        <sz val="9"/>
        <rFont val="WenQuanYi Zen Hei"/>
        <family val="2"/>
      </rPr>
      <t xml:space="preserve">예시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물건 고를 때 다소 헷갈리게 지문 제시 가능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사과는 얼마예요</t>
    </r>
    <r>
      <rPr>
        <sz val="9"/>
        <rFont val="맑은 고딕"/>
        <family val="0"/>
        <charset val="1"/>
      </rPr>
      <t xml:space="preserve">? / 2</t>
    </r>
    <r>
      <rPr>
        <sz val="9"/>
        <rFont val="WenQuanYi Zen Hei"/>
        <family val="2"/>
      </rPr>
      <t xml:space="preserve">천원이에요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그럼 바나나는 얼마예요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천원이에요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그럼 그걸로 할게요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</si>
  <si>
    <r>
      <rPr>
        <sz val="9"/>
        <rFont val="WenQuanYi Zen Hei"/>
        <family val="2"/>
      </rPr>
      <t xml:space="preserve">짧은 대화나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마트에서 물건 사기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엄마와 민수는 토요일에 마트에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거기에서 사과와 우유를 샀어요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 와서 같이 먹었어요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보기 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누가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무엇을 했어요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</si>
  <si>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각 항목에 맞는 낱말 또는 그림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마트 사과 우유 집</t>
    </r>
  </si>
  <si>
    <r>
      <rPr>
        <sz val="9"/>
        <rFont val="WenQuanYi Zen Hei"/>
        <family val="2"/>
      </rPr>
      <t xml:space="preserve">들은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지역별 일기 예보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질문에 맞는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맑은 날씨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흐린 날씨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비오는 날씨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</si>
  <si>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일기 예보를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오늘 서울은 맑아요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부산은 흐려요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제주도는 비가 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서울 날씨는 어때요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</si>
  <si>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맑은 날씨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흐린 날씨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비 오는 날씨 그림 중 알맞은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</si>
  <si>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수업과 관련된 주제의 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육지에서 사는 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땅에서 사는 동물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보기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생김새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알맞은 답을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</si>
  <si>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수업과 관련된 주제로 짧은 발표를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육지에서 사는 동물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사자는 육지에서 살아요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사자는 몸이 크고 갈색이에요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다른 동물을 잡아먹어요</t>
    </r>
    <r>
      <rPr>
        <sz val="9"/>
        <rFont val="맑은 고딕"/>
        <family val="0"/>
        <charset val="1"/>
      </rPr>
      <t xml:space="preserve">.“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물에서 사는 동물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물고기는 바다나 강에서 살아요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비늘이 있고 지느러미가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작은 벌레를 먹어요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무엇에 관한 이야기예요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어디에서 살아요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무엇을 먹어요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</si>
  <si>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보기에서 알맞은 낱말카드를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</si>
  <si>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수업과 관련한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동물의 한살이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순서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성장과정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애벌레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번데기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</si>
  <si>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관련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동물의 한살이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짧게 설명한다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나비는 처음에 알이에요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알에서 애벌레가 나와요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애벌레는 번데기가 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마지막으로 번데기에서 나비가 나와요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애벌레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번데기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나비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흩어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</si>
  <si>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설명에 따라 한살이 순서대로 카드를 한 줄로 배열한다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알 애벌레 번데기 나비</t>
    </r>
  </si>
  <si>
    <r>
      <rPr>
        <sz val="9"/>
        <rFont val="WenQuanYi Zen Hei"/>
        <family val="2"/>
      </rPr>
      <t xml:space="preserve">정보를 알리는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마을에 대한 설명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내용과 세부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농촌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산촌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</si>
  <si>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알리는 짧은 설명을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마을 종류 설명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농촌에는 논과 밭이 많아요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사람들은 농사를 지어요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산촌에는 산이 많아요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어촌은 바다 근처에 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이야기는 무엇에 관한 이야기예요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농촌에는 무엇이 많아요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</si>
  <si>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주요 내용과 세부 내용을 낱말 카드에서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</si>
  <si>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들은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재난 대피 방송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따라 필요한 정보를 골라 행동으로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코와 입을 막기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운동장에 나가기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반응한다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</si>
  <si>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안내 방송 중 하나를 학생에게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방송 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화재 대피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화재가 발생했습니다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코와 입을 막고 자세를 낮추어 운동장으로 대피하세요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방송 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지진 대피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지진입니다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책상 아래로 들어가서 머리를 보호하세요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흔들림이 멈추면 운동장으로 나오세요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방송 </t>
    </r>
    <r>
      <rPr>
        <sz val="9"/>
        <rFont val="맑은 고딕"/>
        <family val="0"/>
        <charset val="1"/>
      </rPr>
      <t xml:space="preserve">3(</t>
    </r>
    <r>
      <rPr>
        <sz val="9"/>
        <rFont val="WenQuanYi Zen Hei"/>
        <family val="2"/>
      </rPr>
      <t xml:space="preserve">황사 안내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오늘은 황사가 심합니다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밖에 나가지 말고 창문을 닫으세요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마스크를 꼭 쓰세요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</si>
  <si>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코와 입 막기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운동장으로 나가기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책상 아래로 들어가기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마스크 쓰기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안내에 맞는 행동으로 반응한다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</si>
  <si>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발표자가 소개한 대상을 보기에서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</si>
  <si>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발표를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제가 좋아하는 책은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강아지똥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작은 강아지똥이 꽃을 피우는 이야기예요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따뜻한 이야기예요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세종대왕은 한글을 만든 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모두가 글자를 읽을 수 있게 해 주셨어요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훌륭한 분이에요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3(</t>
    </r>
    <r>
      <rPr>
        <sz val="9"/>
        <rFont val="WenQuanYi Zen Hei"/>
        <family val="2"/>
      </rPr>
      <t xml:space="preserve">장래희망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저는 의사가 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아픈 사람을 도와주고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그래서 공부를 열심히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직업 그림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</si>
  <si>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발표자가 소개한 대상의 그림카드를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강아지똥 책 세종대왕 의사</t>
    </r>
  </si>
  <si>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 내용과 맞는 그림을 모두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</si>
  <si>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발표를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제가 좋아하는 책은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강아지똥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작은 강아지똥이 꽃을 피우는 이야기예요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따뜻한 이야기예요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세종대왕은 한글을 만든 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모두가 글자를 읽을 수 있게 해 주셨어요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훌륭한 분이에요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3(</t>
    </r>
    <r>
      <rPr>
        <sz val="9"/>
        <rFont val="WenQuanYi Zen Hei"/>
        <family val="2"/>
      </rPr>
      <t xml:space="preserve">장래희망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저는 의사가 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아픈 사람을 도와주고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그래서 공부를 열심히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발표 내용과 관련된 그림 여러 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강아지똥</t>
    </r>
    <r>
      <rPr>
        <sz val="9"/>
        <rFont val="맑은 고딕"/>
        <family val="0"/>
        <charset val="1"/>
      </rPr>
      <t xml:space="preserve">): </t>
    </r>
    <r>
      <rPr>
        <sz val="9"/>
        <rFont val="WenQuanYi Zen Hei"/>
        <family val="2"/>
      </rPr>
      <t xml:space="preserve">강아지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꽃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강아지똥 그림 등</t>
    </r>
  </si>
  <si>
    <r>
      <rPr>
        <sz val="9"/>
        <rFont val="WenQuanYi Zen Hei"/>
        <family val="2"/>
      </rPr>
      <t xml:space="preserve">발표 내용에 나온 그림카드를 모두 손가락으로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</si>
  <si>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 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들은 내용에 대한 사실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</si>
  <si>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발표를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1(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제가 좋아하는 책은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강아지똥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작은 강아지똥이 꽃을 피우는 이야기예요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따뜻한 이야기예요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2(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세종대왕은 한글을 만든 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모두가 글자를 읽을 수 있게 해 주셨어요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훌륭한 분이에요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발표 </t>
    </r>
    <r>
      <rPr>
        <sz val="9"/>
        <rFont val="맑은 고딕"/>
        <family val="0"/>
        <charset val="1"/>
      </rPr>
      <t xml:space="preserve">3(</t>
    </r>
    <r>
      <rPr>
        <sz val="9"/>
        <rFont val="WenQuanYi Zen Hei"/>
        <family val="2"/>
      </rPr>
      <t xml:space="preserve">장래희망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저는 의사가 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아픈 사람을 도와주고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그래서 공부를 열심히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무엇에 관한 이야기예요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어떤 이야기예요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질문한다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</si>
  <si>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질문에 맞는 문장 카드를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</si>
  <si>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다소 긴 대화나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약속을 정하는 대화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그 상황이나 목적을 대략적으로 답한다</t>
    </r>
    <r>
      <rPr>
        <sz val="9"/>
        <rFont val="맑은 고딕"/>
        <family val="0"/>
        <charset val="1"/>
      </rPr>
      <t xml:space="preserve">. -</t>
    </r>
    <r>
      <rPr>
        <sz val="9"/>
        <rFont val="WenQuanYi Zen Hei"/>
        <family val="2"/>
      </rPr>
      <t xml:space="preserve">예시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목적 등이 드러나는 대화</t>
    </r>
  </si>
  <si>
    <r>
      <rPr>
        <sz val="9"/>
        <rFont val="WenQuanYi Zen Hei"/>
        <family val="2"/>
      </rPr>
      <t xml:space="preserve">다소 긴 대화나 이야기를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약속 정하기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민지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수호야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토요일에 같이 영화 볼래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수호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좋아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몇 시에 만날까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민지</t>
    </r>
    <r>
      <rPr>
        <sz val="9"/>
        <rFont val="맑은 고딕"/>
        <family val="0"/>
        <charset val="1"/>
      </rPr>
      <t xml:space="preserve">: "3</t>
    </r>
    <r>
      <rPr>
        <sz val="9"/>
        <rFont val="WenQuanYi Zen Hei"/>
        <family val="2"/>
      </rPr>
      <t xml:space="preserve">시에 영화관 앞에서 만나자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수호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그래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토요일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시에 영화관 앞에서 만나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대화에서 두 사람이 무엇을 하기로 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</si>
  <si>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영화를 보기로 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토요일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시에 만나기로 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대화의 상황이나 목적을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</si>
  <si>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칠판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한 단어로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</si>
  <si>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 카드를 보고 동물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코끼리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</si>
  <si>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동물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코끼리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사자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주며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이건 무슨 동물이에요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</si>
  <si>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코끼리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하마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기린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동물 이름을 한 단어로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코끼리 하마 기린 사자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</si>
  <si>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학생이 가진 학용품을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이게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</si>
  <si>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연필이에요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지우개예요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자기 물건 이름을 짧게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</si>
  <si>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 역할로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!", "</t>
    </r>
    <r>
      <rPr>
        <sz val="9"/>
        <rFont val="WenQuanYi Zen Hei"/>
        <family val="2"/>
      </rPr>
      <t xml:space="preserve">잘 가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인사말을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</si>
  <si>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어른 역할로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잘가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같은 인사말을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</si>
  <si>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이름이 뭐니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00</t>
    </r>
    <r>
      <rPr>
        <sz val="9"/>
        <rFont val="WenQuanYi Zen Hei"/>
        <family val="2"/>
      </rPr>
      <t xml:space="preserve">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</si>
  <si>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나이를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몇 살이니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숫자나 짧은 문장</t>
    </r>
    <r>
      <rPr>
        <sz val="9"/>
        <rFont val="맑은 고딕"/>
        <family val="0"/>
        <charset val="1"/>
      </rPr>
      <t xml:space="preserve">(10, </t>
    </r>
    <r>
      <rPr>
        <sz val="9"/>
        <rFont val="WenQuanYi Zen Hei"/>
        <family val="2"/>
      </rPr>
      <t xml:space="preserve">열 살이에요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</si>
  <si>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열 살이에요</t>
    </r>
    <r>
      <rPr>
        <sz val="9"/>
        <rFont val="맑은 고딕"/>
        <family val="0"/>
        <charset val="1"/>
      </rPr>
      <t xml:space="preserve">.", "10</t>
    </r>
    <r>
      <rPr>
        <sz val="9"/>
        <rFont val="WenQuanYi Zen Hei"/>
        <family val="2"/>
      </rPr>
      <t xml:space="preserve">살이에요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숫자나 짧은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</si>
  <si>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물건의 이름을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이건 뭐야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에 한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필통이에요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</si>
  <si>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연필이에요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필통이에요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지우개예요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사물 이름을 한 단어로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</si>
  <si>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활동 중 필요한 것이 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휴지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색연필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말하여 요구한다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</si>
  <si>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휴지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색연필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필요한 물건의 이름을 짧게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</si>
  <si>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하고 싶은 활동을 한 단어나 짧은 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축구하자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</si>
  <si>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싫거나 어려운 상황에서 거절이나 도움 요청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</si>
  <si>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학생이 어려워하거나 싫어하는 상황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거절이나 도움을 요청하려면 어떻게 말해야 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</si>
  <si>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어려워요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거절이나 도움 요청 표현을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</si>
  <si>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학생이 새로운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분리수거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을 말하게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</si>
  <si>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발음이 서툴러도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분∙리∙수∙거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한 음절씩 천천히 또박또박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</si>
  <si>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현장체험학습을 발음해볼까</t>
    </r>
    <r>
      <rPr>
        <sz val="9"/>
        <rFont val="맑은 고딕"/>
        <family val="0"/>
        <charset val="1"/>
      </rPr>
      <t xml:space="preserve">?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</si>
  <si>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현∙장∙체∙험∙학∙습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(</t>
    </r>
    <r>
      <rPr>
        <sz val="9"/>
        <rFont val="WenQuanYi Zen Hei"/>
        <family val="2"/>
      </rPr>
      <t xml:space="preserve">못 알아들은 척하며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다시 한번 말해 줄래요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같은 말을 더 천천히 한 음절씩 다시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</si>
  <si>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제안하는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나랑 같이 축구할래</t>
    </r>
    <r>
      <rPr>
        <sz val="9"/>
        <rFont val="맑은 고딕"/>
        <family val="0"/>
        <charset val="1"/>
      </rPr>
      <t xml:space="preserve">?, </t>
    </r>
    <r>
      <rPr>
        <sz val="9"/>
        <rFont val="WenQuanYi Zen Hei"/>
        <family val="2"/>
      </rPr>
      <t xml:space="preserve">나랑 같이 놀이할래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</si>
  <si>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친구와 함께 무엇을 하고 싶을 때 어떻게 말하는지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</si>
  <si>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나랑 같이 축구할래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나랑 같이 그림 그릴래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나랑 같이 놀이할래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제안하는 문장을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</si>
  <si>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생활에서 허락을 구하는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 가도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물 마셔도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먹어도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</si>
  <si>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중 보건실에 가야 하거나 물을 마셔야 할 때 어떻게 말할지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</si>
  <si>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보건실 가도 돼요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물 마셔도 돼요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허락을 구하는 문장을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</si>
  <si>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나의 하루 일과에 대해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아침에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시에 일어나요</t>
    </r>
    <r>
      <rPr>
        <sz val="9"/>
        <rFont val="맑은 고딕"/>
        <family val="0"/>
        <charset val="1"/>
      </rPr>
      <t xml:space="preserve">. 8</t>
    </r>
    <r>
      <rPr>
        <sz val="9"/>
        <rFont val="WenQuanYi Zen Hei"/>
        <family val="2"/>
      </rPr>
      <t xml:space="preserve">시에 학교에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</si>
  <si>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하루 일과가 어떻게 돼요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</si>
  <si>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아침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시에 일어나요</t>
    </r>
    <r>
      <rPr>
        <sz val="9"/>
        <rFont val="맑은 고딕"/>
        <family val="0"/>
        <charset val="1"/>
      </rPr>
      <t xml:space="preserve">. 8</t>
    </r>
    <r>
      <rPr>
        <sz val="9"/>
        <rFont val="WenQuanYi Zen Hei"/>
        <family val="2"/>
      </rPr>
      <t xml:space="preserve">시에 학교에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오후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시에 학교가 끝나요</t>
    </r>
    <r>
      <rPr>
        <sz val="9"/>
        <rFont val="맑은 고딕"/>
        <family val="0"/>
        <charset val="1"/>
      </rPr>
      <t xml:space="preserve">. 5</t>
    </r>
    <r>
      <rPr>
        <sz val="9"/>
        <rFont val="WenQuanYi Zen Hei"/>
        <family val="2"/>
      </rPr>
      <t xml:space="preserve">시에 학원에 가요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하루 일과를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</si>
  <si>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날짜와 시간을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몇일이에요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지금 몇 시에요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일이에요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지금은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</si>
  <si>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오늘은 며칠이에요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</si>
  <si>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오늘은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일이에요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지금은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분이에요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짧은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</si>
  <si>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전화번호를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전화번호가 뭐야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간단한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 전화번호는 </t>
    </r>
    <r>
      <rPr>
        <sz val="9"/>
        <rFont val="맑은 고딕"/>
        <family val="0"/>
        <charset val="1"/>
      </rPr>
      <t xml:space="preserve">000-0000-0000</t>
    </r>
    <r>
      <rPr>
        <sz val="9"/>
        <rFont val="WenQuanYi Zen Hei"/>
        <family val="2"/>
      </rPr>
      <t xml:space="preserve">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</si>
  <si>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전화번호가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</si>
  <si>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제 전화번호는 </t>
    </r>
    <r>
      <rPr>
        <sz val="9"/>
        <rFont val="맑은 고딕"/>
        <family val="0"/>
        <charset val="1"/>
      </rPr>
      <t xml:space="preserve">010-1234-5678</t>
    </r>
    <r>
      <rPr>
        <sz val="9"/>
        <rFont val="WenQuanYi Zen Hei"/>
        <family val="2"/>
      </rPr>
      <t xml:space="preserve">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간단한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</si>
  <si>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가격을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얼마예요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천원이에요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</si>
  <si>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가게에서 물건 가격을 묻는 상황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</si>
  <si>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이건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천 원이에요</t>
    </r>
    <r>
      <rPr>
        <sz val="9"/>
        <rFont val="맑은 고딕"/>
        <family val="0"/>
        <charset val="1"/>
      </rPr>
      <t xml:space="preserve">.", "1,000</t>
    </r>
    <r>
      <rPr>
        <sz val="9"/>
        <rFont val="WenQuanYi Zen Hei"/>
        <family val="2"/>
      </rPr>
      <t xml:space="preserve">원이에요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가격을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</si>
  <si>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활동 방법을 모를 때 방법을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어떻게 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해당 질문에 대한 대답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가위로 잘라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풀로 붙여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</si>
  <si>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활동 방법을 모를 때 어떻게 말할지 묻거나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친구가 묻는 상황을 가정한다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1: “</t>
    </r>
    <r>
      <rPr>
        <sz val="9"/>
        <rFont val="WenQuanYi Zen Hei"/>
        <family val="2"/>
      </rPr>
      <t xml:space="preserve">이 색종이를 붙이는 방법을 모르면 어떤 질문을 해야 할까요</t>
    </r>
    <r>
      <rPr>
        <sz val="9"/>
        <rFont val="맑은 고딕"/>
        <family val="0"/>
        <charset val="1"/>
      </rPr>
      <t xml:space="preserve">?”</t>
    </r>
  </si>
  <si>
    <r>
      <rPr>
        <sz val="9"/>
        <rFont val="WenQuanYi Zen Hei"/>
        <family val="2"/>
      </rPr>
      <t xml:space="preserve">“어떻게 붙여야 해요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라고 방법을 묻는 질문을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2: "</t>
    </r>
    <r>
      <rPr>
        <sz val="9"/>
        <rFont val="WenQuanYi Zen Hei"/>
        <family val="2"/>
      </rPr>
      <t xml:space="preserve">이 색종이를 어떻게 붙여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“</t>
    </r>
    <r>
      <rPr>
        <sz val="9"/>
        <rFont val="WenQuanYi Zen Hei"/>
        <family val="2"/>
      </rPr>
      <t xml:space="preserve">가위로 잘라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풀로 붙여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방법을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</si>
  <si>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준비물의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색연필 어디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해당 질문에 대한 대답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책상 위에 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</si>
  <si>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준비물의 위치를 알고 싶을 때 어떻게 말할지 묻거나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친구가 묻는 상황을 가정한다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1: "</t>
    </r>
    <r>
      <rPr>
        <sz val="9"/>
        <rFont val="WenQuanYi Zen Hei"/>
        <family val="2"/>
      </rPr>
      <t xml:space="preserve">색연필의 위치를 모르면 어떤 질문을 해야 할까요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</si>
  <si>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WenQuanYi Zen Hei"/>
        <family val="2"/>
      </rPr>
      <t xml:space="preserve">“색연필 어디 있어요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라고 색연필의 위치를 묻는 질문을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2: "</t>
    </r>
    <r>
      <rPr>
        <sz val="9"/>
        <rFont val="WenQuanYi Zen Hei"/>
        <family val="2"/>
      </rPr>
      <t xml:space="preserve">색연필은 어디에 있어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"</t>
    </r>
    <r>
      <rPr>
        <sz val="9"/>
        <rFont val="WenQuanYi Zen Hei"/>
        <family val="2"/>
      </rPr>
      <t xml:space="preserve">책상 위에 있어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필통 안에 있어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위치를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</si>
  <si>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교실의 위치를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보건실이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해당 질문에 대한 대답</t>
    </r>
    <r>
      <rPr>
        <sz val="9"/>
        <rFont val="맑은 고딕"/>
        <family val="0"/>
        <charset val="1"/>
      </rPr>
      <t xml:space="preserve">(1</t>
    </r>
    <r>
      <rPr>
        <sz val="9"/>
        <rFont val="WenQuanYi Zen Hei"/>
        <family val="2"/>
      </rPr>
      <t xml:space="preserve">층에 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</si>
  <si>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내의 다른 장소로 이동해야 하는 상황을 가정한다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1: "</t>
    </r>
    <r>
      <rPr>
        <sz val="9"/>
        <rFont val="WenQuanYi Zen Hei"/>
        <family val="2"/>
      </rPr>
      <t xml:space="preserve">도서관이 어디에 있는지 모르면 어떻게 질문해야 해요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</si>
  <si>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도서관이 어디에 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도서관의 위치를 묻는 질문을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2: "</t>
    </r>
    <r>
      <rPr>
        <sz val="9"/>
        <rFont val="WenQuanYi Zen Hei"/>
        <family val="2"/>
      </rPr>
      <t xml:space="preserve">다음 수업은 음악이에요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음악실은 어디에 있어요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"4</t>
    </r>
    <r>
      <rPr>
        <sz val="9"/>
        <rFont val="WenQuanYi Zen Hei"/>
        <family val="2"/>
      </rPr>
      <t xml:space="preserve">층에 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음악실의 위치를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</si>
  <si>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교사나 친구에게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누구의 가방이에요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몇 쪽이에요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묻거나 해당 질문에 대한 대답</t>
    </r>
    <r>
      <rPr>
        <sz val="9"/>
        <rFont val="맑은 고딕"/>
        <family val="0"/>
        <charset val="1"/>
      </rPr>
      <t xml:space="preserve">(00</t>
    </r>
    <r>
      <rPr>
        <sz val="9"/>
        <rFont val="WenQuanYi Zen Hei"/>
        <family val="2"/>
      </rPr>
      <t xml:space="preserve">의 가방이야</t>
    </r>
    <r>
      <rPr>
        <sz val="9"/>
        <rFont val="맑은 고딕"/>
        <family val="0"/>
        <charset val="1"/>
      </rPr>
      <t xml:space="preserve">. 68</t>
    </r>
    <r>
      <rPr>
        <sz val="9"/>
        <rFont val="WenQuanYi Zen Hei"/>
        <family val="2"/>
      </rPr>
      <t xml:space="preserve">쪽이야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</si>
  <si>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중 필요한 정보를 묻고 답하는 상황을 가정한다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1: “</t>
    </r>
    <r>
      <rPr>
        <sz val="9"/>
        <rFont val="WenQuanYi Zen Hei"/>
        <family val="2"/>
      </rPr>
      <t xml:space="preserve">수업 중 선생님이 교과서 몇 쪽을 펴라고 했는데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 듣지 못한 상황이에요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선생님께 어떤 질문을 해야 할까요</t>
    </r>
    <r>
      <rPr>
        <sz val="9"/>
        <rFont val="맑은 고딕"/>
        <family val="0"/>
        <charset val="1"/>
      </rPr>
      <t xml:space="preserve">?”</t>
    </r>
  </si>
  <si>
    <r>
      <rPr>
        <sz val="9"/>
        <rFont val="WenQuanYi Zen Hei"/>
        <family val="2"/>
      </rPr>
      <t xml:space="preserve">“몇 쪽이에요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처럼 필요한 정보를 묻는 질문을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2: "</t>
    </r>
    <r>
      <rPr>
        <sz val="9"/>
        <rFont val="WenQuanYi Zen Hei"/>
        <family val="2"/>
      </rPr>
      <t xml:space="preserve">친구가 민수의 가방을 들고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이거 누구의 가방이야</t>
    </r>
    <r>
      <rPr>
        <sz val="9"/>
        <rFont val="맑은 고딕"/>
        <family val="0"/>
        <charset val="1"/>
      </rPr>
      <t xml:space="preserve">?'</t>
    </r>
    <r>
      <rPr>
        <sz val="9"/>
        <rFont val="WenQuanYi Zen Hei"/>
        <family val="2"/>
      </rPr>
      <t xml:space="preserve">라고 물었어요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뭐라고 답해야 하나요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학생 “민수의 가방이에요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가방의 주인을 알려 주는 말로 대답한다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</si>
  <si>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하고 싶은 말을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제가 할래요</t>
    </r>
    <r>
      <rPr>
        <sz val="9"/>
        <rFont val="맑은 고딕"/>
        <family val="0"/>
        <charset val="1"/>
      </rPr>
      <t xml:space="preserve">. ~</t>
    </r>
    <r>
      <rPr>
        <sz val="9"/>
        <rFont val="WenQuanYi Zen Hei"/>
        <family val="2"/>
      </rPr>
      <t xml:space="preserve">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 읽고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 가고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</si>
  <si>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지금 하고 싶은 것을 묻는다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지금 뭐 하고 싶어요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</si>
  <si>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책 읽고 싶어요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운동장에 가고 싶어요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하고 싶은 것을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</si>
  <si>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다짐을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 일찍 올게요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싸우지 않을게요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</si>
  <si>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“앞으로는 어떻게 할 거예요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</si>
  <si>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“학교에 일찍 올게요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친구와 싸우지 않을게요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앞으로의 다짐을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</si>
  <si>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도움이 필요한 상황을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보건실에 가고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가위가 없어요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</si>
  <si>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도움이 필요한 상황을 제시하고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무엇이 필요한지 묻는다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“</t>
    </r>
    <r>
      <rPr>
        <sz val="9"/>
        <rFont val="WenQuanYi Zen Hei"/>
        <family val="2"/>
      </rPr>
      <t xml:space="preserve">수업시간에 배가 아프면 어떻게 말할까요</t>
    </r>
    <r>
      <rPr>
        <sz val="9"/>
        <rFont val="맑은 고딕"/>
        <family val="0"/>
        <charset val="1"/>
      </rPr>
      <t xml:space="preserve">?”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</si>
  <si>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배가 아파요</t>
    </r>
    <r>
      <rPr>
        <sz val="9"/>
        <rFont val="맑은 고딕"/>
        <family val="0"/>
        <charset val="1"/>
      </rPr>
      <t xml:space="preserve">.", “</t>
    </r>
    <r>
      <rPr>
        <sz val="9"/>
        <rFont val="WenQuanYi Zen Hei"/>
        <family val="2"/>
      </rPr>
      <t xml:space="preserve">보건실에 가고 싶어요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도움이 필요한 상황을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</si>
  <si>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이것은 내 공책이에요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말할 때 낱말 사이를 자연스럽게 띄어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</si>
  <si>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“이것은 내 공책이에요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저는 우유를 마셔요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같은 짧은 문장을 제시하고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이것을 따라 읽어볼까요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학생이 따라 말하게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</si>
  <si>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문장을 너무 빠르게 말하지 않고 “이것은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내 공책이에요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우유를 마셔요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주요 낱말이 들리도록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</si>
  <si>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학생의 말을 못 알아들은 듯 “다시 말해 줄래요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</si>
  <si>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처음에 “보건실에 가고 싶어요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라고 말했다면 다시 “보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건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실에 가고 싶어요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핵심 낱말을 분명하게 말한다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</si>
  <si>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정한 주제에 대해 세네 문장으로 소개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발표한다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 소개</t>
    </r>
    <r>
      <rPr>
        <sz val="9"/>
        <rFont val="맑은 고딕"/>
        <family val="0"/>
        <charset val="1"/>
      </rPr>
      <t xml:space="preserve">): "</t>
    </r>
    <r>
      <rPr>
        <sz val="9"/>
        <rFont val="WenQuanYi Zen Hei"/>
        <family val="2"/>
      </rPr>
      <t xml:space="preserve">제 친구 이름은 민수예요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민수는 키가 크고 안경을 썼어요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우리는 같이 축구를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사이가 정말 좋아요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장래희망</t>
    </r>
    <r>
      <rPr>
        <sz val="9"/>
        <rFont val="맑은 고딕"/>
        <family val="0"/>
        <charset val="1"/>
      </rPr>
      <t xml:space="preserve">): "</t>
    </r>
    <r>
      <rPr>
        <sz val="9"/>
        <rFont val="WenQuanYi Zen Hei"/>
        <family val="2"/>
      </rPr>
      <t xml:space="preserve">제 꿈은 의사예요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아픈 사람을 도와주고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그래서 과학 공부를 열심히 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</si>
  <si>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그림이나 사진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등굣길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운동장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보며 관련된 정보를 두 가지 이상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</si>
  <si>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비 오는 등굣길 사진이나 운동장 사진을 보여주고</t>
    </r>
    <r>
      <rPr>
        <sz val="9"/>
        <rFont val="맑은 고딕"/>
        <family val="0"/>
        <charset val="1"/>
      </rPr>
      <t xml:space="preserve">, "</t>
    </r>
    <r>
      <rPr>
        <sz val="9"/>
        <rFont val="WenQuanYi Zen Hei"/>
        <family val="2"/>
      </rPr>
      <t xml:space="preserve">이 사진과 관련된 내용을 두 가지 이상 말해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사진과 관련된 정보를 두 가지 이상 말하게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</si>
  <si>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“비가 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학생들이 우산을 써요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친구들이 운동장에서 축구를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날씨가 맑아요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사진을 보고 관련 정보를 두 가지 이상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</si>
  <si>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시간 표현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사용해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</si>
  <si>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현장체험학습 때 무엇을 했어요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지난 주 생일 파티는 어땠어요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</si>
  <si>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어제 현장체험학습으로 박물관에 갔어요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지난 주에 친구 생일 파티에 갔어요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지난 주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같은 시간 표현을 사용해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</si>
  <si>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나온 사람이나 장소를 포함해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</si>
  <si>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누구와 어디에 갔어요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</si>
  <si>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친구들과 박물관에 갔어요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엄마와 식당에 갔어요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사람과 장소를 넣어 겪은 일을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</si>
  <si>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느낌을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</si>
  <si>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정말 재미있었어요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조금 피곤했지만 즐거웠어요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신났어요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겪은 일에 대한 느낌을 한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</si>
  <si>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중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무엇으로 관찰해요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하거나 수업에 대한 대답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돋보기로 관찰해요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</si>
  <si>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무엇으로 관찰해요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수업 중 관찰 활동 상황을 제시하며 질문한다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</si>
  <si>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“돋보기로 관찰해요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수업 내용과 관련된 짧은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</si>
  <si>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교사의 확인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도형이 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수업 내용과 관련된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삼각형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</si>
  <si>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어떤 도형이 있나요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처럼 수업 내용과 관련된 확인 질문을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</si>
  <si>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삼각형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사각형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원이 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수업 내용과 관련된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</si>
  <si>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전해 들은 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친구의 생일 파티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등을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</si>
  <si>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“어제 민수의 생일 파티가 민수네 집에서 열렸어요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친구들이 케이크를 먹고 게임을 했어요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라는 이야기를 들려주고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대상을 포함하여 이야기를 다시 말하게 한다 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</si>
  <si>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“어제 민수네 집에서 생일 파티를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친구들이 케이크를 먹었어요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사람을 포함해 전달한다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</si>
  <si>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들은 내용을 전달하는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집에 오라고 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축구하자고 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표현한다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</si>
  <si>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“민수가 ‘내일 우리 집에 와</t>
    </r>
    <r>
      <rPr>
        <sz val="9"/>
        <rFont val="맑은 고딕"/>
        <family val="0"/>
        <charset val="1"/>
      </rPr>
      <t xml:space="preserve">.’</t>
    </r>
    <r>
      <rPr>
        <sz val="9"/>
        <rFont val="WenQuanYi Zen Hei"/>
        <family val="2"/>
      </rPr>
      <t xml:space="preserve">라고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친구에게 어떻게 전할까요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</si>
  <si>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“민수가 내일 자기 집에 오라고 했어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또는 “민수가 내일 축구하자고 했어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전달하는 말로 바꿔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</si>
  <si>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자신이 하고 싶은 말을 비교적 정확한 발음으로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</si>
  <si>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“오늘 점심에 무엇을 먹었어요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처럼 짧은 질문을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</si>
  <si>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“김밥을 먹었어요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비빔밥을 먹었어요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주요 낱말을 알아들을 수 있을 정도로 또박또박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</si>
  <si>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상대가 다시 묻거나 못 알아들었을 때 같은 내용을 한 번 더 알아 듣기 쉽게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</si>
  <si>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학생에게 간단한 질문을 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학생의 대답을 들은 뒤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다시 한번 말해 줄래요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</si>
  <si>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“현장체험학습에 갔어요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를 다시 “현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장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체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험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학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습에 갔어요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같은 내용을 더 천천히 또박또박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</si>
  <si>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관련된 주제에 대해 자신의 말로 표현한다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</si>
  <si>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수업에서 배운 주제 중 하나를 정해 학생에게 자기 말로 설명하게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방위에 대해서 발표해 볼까요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</si>
  <si>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방위는 동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서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남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북이에요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해가 뜨는 곳이 동쪽이에요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해가 지는 곳이 서쪽이에요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 자기 말로 풀어서 설명한다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</si>
  <si>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수업에서 배운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식물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마을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간략하게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</si>
  <si>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식물의 한살이 그림을 보여 주고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식물의 한살이 그림을 보고 배운 내용을 말해 볼까요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질문하며 학생이 그림을 보고 배운 내용을 말하게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</si>
  <si>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“씨앗에서 싹이 터요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잎이 자라고 꽃이 피어요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마지막에는 열매가 생겨요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과정이나 특징을 순서대로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</si>
  <si>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학습과 관련한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옛날과 오늘날의 생활 모습 비교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</si>
  <si>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옛날과 오늘날의 생활 모습 같은 학습 주제로 학생에게 비교해 말하게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</si>
  <si>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옛날 사람들은 한복을 입었어요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오늘날 사람들은 청바지나 티셔츠를 입어요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학습 주제와 관련된 정보를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</si>
  <si>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생활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내용을 발표한다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</si>
  <si>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우리 학교의 행사나 상징을 친구들에게 발표해 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</si>
  <si>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우리 학교는 매년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월에 운동회를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청팀과 백팀으로 나누어 경기를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학교의 교목은 소나무예요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학교 생활 내용을 발표 형식으로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</si>
  <si>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표로 정리된 자료와 그래프로 정리된 자료를 보여 주고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친구들에게 설명하기에는 어떤 자료가 더 좋다고 생각하나요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</si>
  <si>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“글과 그림이 함께 있는 자료가 더 좋다고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왜냐하면 그래프를 보면 더 쉽게 비교할 수 있기 때문입니다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자신의 생각을 근거를 들어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</si>
  <si>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그림이나 이야기 속 인물의 행동에 대해 자신의 생각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제 생각에 </t>
    </r>
    <r>
      <rPr>
        <sz val="9"/>
        <rFont val="맑은 고딕"/>
        <family val="0"/>
        <charset val="1"/>
      </rPr>
      <t xml:space="preserve">00</t>
    </r>
    <r>
      <rPr>
        <sz val="9"/>
        <rFont val="WenQuanYi Zen Hei"/>
        <family val="2"/>
      </rPr>
      <t xml:space="preserve">이 거짓말을 말한 것은 나쁘다고 생각합니다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</si>
  <si>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인물의 행동이 드러난 그림을 보여주고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학생의 생각을 묻는다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(</t>
    </r>
    <r>
      <rPr>
        <sz val="9"/>
        <rFont val="WenQuanYi Zen Hei"/>
        <family val="2"/>
      </rPr>
      <t xml:space="preserve">지각을 하지 않기 위해 무단횡단을 하는 학생 그림을 보여주며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 행동에 대해 어떻게 생각해요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</si>
  <si>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“저는 좋지 않다고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위험할 수 있기 때문입니다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생각과 이유를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</si>
  <si>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제안하기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약속하기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질문과 대답을 번갈아 하며 관련 발화를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</si>
  <si>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친구에게 같이 놀자고 제안해 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제안하는 대화 상황을 만든다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</si>
  <si>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수호야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같이 축구할래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좋아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언제 할까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시에 운동장에서 만나자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질문과 대답을 번갈아 하며 대화를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</si>
  <si>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상황에 맞는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발표하는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짝과 대화하는 상황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질문과 대답을 번갈아 하며 관련 발화를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</si>
  <si>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발표하는 상황을 가정하고 학생이 상황에 맞게 말하게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사회 수업 시간에 우리마을에 대해 발표하려면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어떤 말로 시작해야 할까요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</si>
  <si>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저는 ○○○입니다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오늘은 우리 마을에 대해 발표하겠습니다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정중하게 발표한다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친구와 대화하는 상황을 가정하고 학생이 상황에 맞게 말하게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짝과 우리 마을에 대해 이야기해 봐요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처럼 짝과 대화하는 상황을 가정한다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"</t>
    </r>
    <r>
      <rPr>
        <sz val="9"/>
        <rFont val="WenQuanYi Zen Hei"/>
        <family val="2"/>
      </rPr>
      <t xml:space="preserve">어제 우리 마을에서 가장 오래된 나무를 봤어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어디에 있는 나무인데</t>
    </r>
    <r>
      <rPr>
        <sz val="9"/>
        <rFont val="맑은 고딕"/>
        <family val="0"/>
        <charset val="1"/>
      </rPr>
      <t xml:space="preserve">?", "00</t>
    </r>
    <r>
      <rPr>
        <sz val="9"/>
        <rFont val="WenQuanYi Zen Hei"/>
        <family val="2"/>
      </rPr>
      <t xml:space="preserve">공원에 있는 나무야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나도 가 봐야겠다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친근한 말투로 대화를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</si>
  <si>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맥락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발화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동물 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빨라요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 동음이의어에 주의하는 대화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고려하여 자신이 하고 싶은 말을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</si>
  <si>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동음이의어가 들어간 짧은 대화를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“</t>
    </r>
    <r>
      <rPr>
        <sz val="9"/>
        <rFont val="WenQuanYi Zen Hei"/>
        <family val="2"/>
      </rPr>
      <t xml:space="preserve">동물이 말을 빨리 해요</t>
    </r>
    <r>
      <rPr>
        <sz val="9"/>
        <rFont val="맑은 고딕"/>
        <family val="0"/>
        <charset val="1"/>
      </rPr>
      <t xml:space="preserve">.” — “</t>
    </r>
    <r>
      <rPr>
        <sz val="9"/>
        <rFont val="WenQuanYi Zen Hei"/>
        <family val="2"/>
      </rPr>
      <t xml:space="preserve">동물의 말은 말이 아니고 동물이에요</t>
    </r>
    <r>
      <rPr>
        <sz val="9"/>
        <rFont val="맑은 고딕"/>
        <family val="0"/>
        <charset val="1"/>
      </rPr>
      <t xml:space="preserve">.”</t>
    </r>
  </si>
  <si>
    <r>
      <rPr>
        <sz val="9"/>
        <rFont val="WenQuanYi Zen Hei"/>
        <family val="2"/>
      </rPr>
      <t xml:space="preserve">대화 속 “말”이 ‘이야기하는 말’인지 ‘동물 말’인지 구분한다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</si>
  <si>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 상대에 따라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높임 표현 사용하기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질문과 대답을 번갈아 하며 관련 발화를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</si>
  <si>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옆집 할아버지를 만나 대화하는 상황을 가정하며 대화를 이어나가게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어디에 가니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</si>
  <si>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문구점에 가요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무엇을 사러 가니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공책과 연필을 사러 가요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높임 표현을 사용하여 대화를 이어 간다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친구를 만나 대화하는 상황을 가정하며 대화를 이어나가게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너 지금 어디가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"</t>
    </r>
    <r>
      <rPr>
        <sz val="9"/>
        <rFont val="WenQuanYi Zen Hei"/>
        <family val="2"/>
      </rPr>
      <t xml:space="preserve">문구점에 가고 있어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무엇을 살 거야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공책과 연필을 살 거야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친근한 말투로 대화를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</si>
  <si>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상대의 말에 맞추어 되묻기</t>
    </r>
    <r>
      <rPr>
        <sz val="9"/>
        <rFont val="맑은 고딕"/>
        <family val="0"/>
        <charset val="1"/>
      </rPr>
      <t xml:space="preserve">(00</t>
    </r>
    <r>
      <rPr>
        <sz val="9"/>
        <rFont val="WenQuanYi Zen Hei"/>
        <family val="2"/>
      </rPr>
      <t xml:space="preserve">이 무슨 뜻이야</t>
    </r>
    <r>
      <rPr>
        <sz val="9"/>
        <rFont val="맑은 고딕"/>
        <family val="0"/>
        <charset val="1"/>
      </rPr>
      <t xml:space="preserve">? / 00</t>
    </r>
    <r>
      <rPr>
        <sz val="9"/>
        <rFont val="WenQuanYi Zen Hei"/>
        <family val="2"/>
      </rPr>
      <t xml:space="preserve">는 이런 뜻이야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동의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맞아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나도 그래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추가 설명 중 하나를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</si>
  <si>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친구가 학생에게 새로운 말을 던지는 상황을 가정한다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 “오늘 분리수거를 했어</t>
    </r>
    <r>
      <rPr>
        <sz val="9"/>
        <rFont val="맑은 고딕"/>
        <family val="0"/>
        <charset val="1"/>
      </rPr>
      <t xml:space="preserve">.”</t>
    </r>
  </si>
  <si>
    <r>
      <rPr>
        <sz val="9"/>
        <rFont val="WenQuanYi Zen Hei"/>
        <family val="2"/>
      </rPr>
      <t xml:space="preserve">“분리수거가 뭐야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라고 되묻거나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맞아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나도 했어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라고 동의하거나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분리수거는 종이와 플라스틱을 나누어 버리는 거야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설명한다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</si>
  <si>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글자 카드 — 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라 등 — 을 보여 주며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 글자를 소리 내어 읽어 보세요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</si>
  <si>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자음과 모음이 결합된 글자를 또박또박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</si>
  <si>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그림과 낱말이 함께 있는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주며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여기 적힌 낱말을 읽어 보세요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</si>
  <si>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그림과 같이 제시된 낱말을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</si>
  <si>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교실에서 자주 보는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창문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 낱말을 읽어 보세요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</si>
  <si>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교실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문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교실에서 자주 보는 낱말을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</si>
  <si>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강아지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같은 뜻의 그림 카드를 따로 늘어놓는다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</si>
  <si>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낱말 카드를 읽고 같은 뜻의 그림이나 실물을 짝 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</si>
  <si>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의자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문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이 적혀있는 이름표를 학생에게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</si>
  <si>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이름표의 낱말을 읽고 해당 물건에 알맞게 이름표를 붙인다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</si>
  <si>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 표지판 사진을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</si>
  <si>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표지판의 낱말을 읽고 해당 장소 그림을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</si>
  <si>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생활 규칙 안내문 중 하나를 보여 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교실에 들어올 때 줄을 서요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밥을 먹기 전에 손을 씻어요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복도에서는 뛰지 않아요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생활 규칙 안내문과 함께 보기 그림을 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</si>
  <si>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안내문을 읽은 뒤 해야할 행동이 나타난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</si>
  <si>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신발장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사물함에 이름표가 붙어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</si>
  <si>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이름표의 글자를 읽고 자기 이름이 있는 자리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신발장 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사물함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정확히 찾아간다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</si>
  <si>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보고 알맞은 모음이 들어간 글자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골라 소리 내어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같은 방식으로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아기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어기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이불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오불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등 다른 짝도 진행한다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(</t>
    </r>
    <r>
      <rPr>
        <sz val="9"/>
        <rFont val="WenQuanYi Zen Hei"/>
        <family val="2"/>
      </rPr>
      <t xml:space="preserve">연못 안에 있는 오리 그림을 보여 주고</t>
    </r>
    <r>
      <rPr>
        <sz val="9"/>
        <rFont val="맑은 고딕"/>
        <family val="0"/>
        <charset val="1"/>
      </rPr>
      <t xml:space="preserve">) “</t>
    </r>
    <r>
      <rPr>
        <sz val="9"/>
        <rFont val="WenQuanYi Zen Hei"/>
        <family val="2"/>
      </rPr>
      <t xml:space="preserve">오리가 연못에 있어요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와 “우리가 연못에 있어요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문장 카드를 제시한다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그림에 맞는 문장 “오리가 연못에 있어요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를 골라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</si>
  <si>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보고 알맞은 자음이 들어간 글자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골라 소리 내어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(</t>
    </r>
    <r>
      <rPr>
        <sz val="9"/>
        <rFont val="WenQuanYi Zen Hei"/>
        <family val="2"/>
      </rPr>
      <t xml:space="preserve">접시 위에 있는 사과 그림을 보여 주고</t>
    </r>
    <r>
      <rPr>
        <sz val="9"/>
        <rFont val="맑은 고딕"/>
        <family val="0"/>
        <charset val="1"/>
      </rPr>
      <t xml:space="preserve">) “</t>
    </r>
    <r>
      <rPr>
        <sz val="9"/>
        <rFont val="WenQuanYi Zen Hei"/>
        <family val="2"/>
      </rPr>
      <t xml:space="preserve">사과가 접시에 있어요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와 “자과가 접시에 있어요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문장 카드를 제시한다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그림에 맞는 문장 “사과가 접시에 있어요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를 골라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</si>
  <si>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보고 알맞은 받침이 들어간 글자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물병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을 골라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공 그림을 보여 주고 “공이 있어요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와 “곰이 있어요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문장 카드를 제시한다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그림에 맞는 문장 “공이 있어요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를 골라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</si>
  <si>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지시문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알림장을 쓰세요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낙서하지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문장에 맞는 행동을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</si>
  <si>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짧은 지시문 중 하나를 카드로 보여 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알림장을 쓰세요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낙서하지 마세요</t>
    </r>
    <r>
      <rPr>
        <sz val="9"/>
        <rFont val="맑은 고딕"/>
        <family val="0"/>
        <charset val="1"/>
      </rPr>
      <t xml:space="preserve">. ③ </t>
    </r>
    <r>
      <rPr>
        <sz val="9"/>
        <rFont val="WenQuanYi Zen Hei"/>
        <family val="2"/>
      </rPr>
      <t xml:space="preserve">조용히 하세요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</si>
  <si>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지시문을 읽고 알맞은 행동 그림을 고르거나 해당 행동을 간단히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</si>
  <si>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도서관에서 책을 빌려요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급식실에서 밥을 먹어요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문장의 내용에 알맞은 그림에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</si>
  <si>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짧은 문장 중 하나를 카드로 보여 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도서관에서 책을 빌려요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급식실에서 밥을 먹어요</t>
    </r>
    <r>
      <rPr>
        <sz val="9"/>
        <rFont val="맑은 고딕"/>
        <family val="0"/>
        <charset val="1"/>
      </rPr>
      <t xml:space="preserve">. ③ </t>
    </r>
    <r>
      <rPr>
        <sz val="9"/>
        <rFont val="WenQuanYi Zen Hei"/>
        <family val="2"/>
      </rPr>
      <t xml:space="preserve">운동장에서 공을 차요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이어서 그림 카드 여러 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</si>
  <si>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문장에 알맞은 그림에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</si>
  <si>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리코더와 실내화 가져오기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필요한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리코더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실내화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 -</t>
    </r>
    <r>
      <rPr>
        <sz val="9"/>
        <rFont val="WenQuanYi Zen Hei"/>
        <family val="2"/>
      </rPr>
      <t xml:space="preserve">예시에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숙제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적기</t>
    </r>
  </si>
  <si>
    <r>
      <rPr>
        <sz val="9"/>
        <rFont val="WenQuanYi Zen Hei"/>
        <family val="2"/>
      </rPr>
      <t xml:space="preserve">내일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리코더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실내화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숙제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수학익힘책 </t>
    </r>
    <r>
      <rPr>
        <sz val="9"/>
        <rFont val="맑은 고딕"/>
        <family val="0"/>
        <charset val="1"/>
      </rPr>
      <t xml:space="preserve">12</t>
    </r>
    <r>
      <rPr>
        <sz val="9"/>
        <rFont val="WenQuanYi Zen Hei"/>
        <family val="2"/>
      </rPr>
      <t xml:space="preserve">쪽 풀기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적힌 알림장을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</si>
  <si>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알림장을 읽고 준비물은 ‘리코더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실내화’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숙제는 ‘수학익힘책 </t>
    </r>
    <r>
      <rPr>
        <sz val="9"/>
        <rFont val="맑은 고딕"/>
        <family val="0"/>
        <charset val="1"/>
      </rPr>
      <t xml:space="preserve">12</t>
    </r>
    <r>
      <rPr>
        <sz val="9"/>
        <rFont val="WenQuanYi Zen Hei"/>
        <family val="2"/>
      </rPr>
      <t xml:space="preserve">쪽 풀기’이라고 표시하거나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</si>
  <si>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게시판 안내문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어린이날 행사를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동그라미를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</si>
  <si>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게시판에 붙은 짧은 안내문을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안내문 </t>
    </r>
    <r>
      <rPr>
        <sz val="9"/>
        <rFont val="맑은 고딕"/>
        <family val="0"/>
        <charset val="1"/>
      </rPr>
      <t xml:space="preserve">1 — </t>
    </r>
    <r>
      <rPr>
        <sz val="9"/>
        <rFont val="WenQuanYi Zen Hei"/>
        <family val="2"/>
      </rPr>
      <t xml:space="preserve">어린이날 행사 </t>
    </r>
    <r>
      <rPr>
        <sz val="9"/>
        <rFont val="맑은 고딕"/>
        <family val="0"/>
        <charset val="1"/>
      </rPr>
      <t xml:space="preserve">"5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일 어린이날에 학교 운동장에서 행사를 합니다</t>
    </r>
    <r>
      <rPr>
        <sz val="9"/>
        <rFont val="맑은 고딕"/>
        <family val="0"/>
        <charset val="1"/>
      </rPr>
      <t xml:space="preserve">. 1~6</t>
    </r>
    <r>
      <rPr>
        <sz val="9"/>
        <rFont val="WenQuanYi Zen Hei"/>
        <family val="2"/>
      </rPr>
      <t xml:space="preserve">학년 학생 모두 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오전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시에 시작합니다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안내문 </t>
    </r>
    <r>
      <rPr>
        <sz val="9"/>
        <rFont val="맑은 고딕"/>
        <family val="0"/>
        <charset val="1"/>
      </rPr>
      <t xml:space="preserve">2 — </t>
    </r>
    <r>
      <rPr>
        <sz val="9"/>
        <rFont val="WenQuanYi Zen Hei"/>
        <family val="2"/>
      </rPr>
      <t xml:space="preserve">도서관 행사 </t>
    </r>
    <r>
      <rPr>
        <sz val="9"/>
        <rFont val="맑은 고딕"/>
        <family val="0"/>
        <charset val="1"/>
      </rPr>
      <t xml:space="preserve">"10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일 오후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시에 도서관에서 책 읽기 퀴즈가 있습니다</t>
    </r>
    <r>
      <rPr>
        <sz val="9"/>
        <rFont val="맑은 고딕"/>
        <family val="0"/>
        <charset val="1"/>
      </rPr>
      <t xml:space="preserve">. 3~4</t>
    </r>
    <r>
      <rPr>
        <sz val="9"/>
        <rFont val="WenQuanYi Zen Hei"/>
        <family val="2"/>
      </rPr>
      <t xml:space="preserve">학년 학생만 오세요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</si>
  <si>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안내문을 읽고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운동장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일시</t>
    </r>
    <r>
      <rPr>
        <sz val="9"/>
        <rFont val="맑은 고딕"/>
        <family val="0"/>
        <charset val="1"/>
      </rPr>
      <t xml:space="preserve">(5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일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시</t>
    </r>
    <r>
      <rPr>
        <sz val="9"/>
        <rFont val="맑은 고딕"/>
        <family val="0"/>
        <charset val="1"/>
      </rPr>
      <t xml:space="preserve">, 10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일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시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대상</t>
    </r>
    <r>
      <rPr>
        <sz val="9"/>
        <rFont val="맑은 고딕"/>
        <family val="0"/>
        <charset val="1"/>
      </rPr>
      <t xml:space="preserve">(1~6</t>
    </r>
    <r>
      <rPr>
        <sz val="9"/>
        <rFont val="WenQuanYi Zen Hei"/>
        <family val="2"/>
      </rPr>
      <t xml:space="preserve">학년</t>
    </r>
    <r>
      <rPr>
        <sz val="9"/>
        <rFont val="맑은 고딕"/>
        <family val="0"/>
        <charset val="1"/>
      </rPr>
      <t xml:space="preserve">, 3~4</t>
    </r>
    <r>
      <rPr>
        <sz val="9"/>
        <rFont val="WenQuanYi Zen Hei"/>
        <family val="2"/>
      </rPr>
      <t xml:space="preserve">학년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동그라미를 그린다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</si>
  <si>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구조의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원인과 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비교와 대조의 문장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호응 관계에 따른 문장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의미 단위로 나누어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</si>
  <si>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구조의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원인과 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비교와 대조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호응 관계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비가 와서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우산을 써요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원인과 결과</t>
    </r>
    <r>
      <rPr>
        <sz val="9"/>
        <rFont val="맑은 고딕"/>
        <family val="0"/>
        <charset val="1"/>
      </rPr>
      <t xml:space="preserve">) ② </t>
    </r>
    <r>
      <rPr>
        <sz val="9"/>
        <rFont val="WenQuanYi Zen Hei"/>
        <family val="2"/>
      </rPr>
      <t xml:space="preserve">코끼리는 크고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토끼는 작아요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비교와 대조</t>
    </r>
    <r>
      <rPr>
        <sz val="9"/>
        <rFont val="맑은 고딕"/>
        <family val="0"/>
        <charset val="1"/>
      </rPr>
      <t xml:space="preserve">) ③ </t>
    </r>
    <r>
      <rPr>
        <sz val="9"/>
        <rFont val="WenQuanYi Zen Hei"/>
        <family val="2"/>
      </rPr>
      <t xml:space="preserve">비록 추워도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우리는 운동을 해요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호응 관계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</si>
  <si>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의미 단위로 살짝 쉬며 자연스럽게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</si>
  <si>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안은문장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기린은 목이 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토끼는 앞발이 짧다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우리학교는 운동장이 넓어요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의미 단위로 나누어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</si>
  <si>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안은문장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주어가 두 개인 듯한 문장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기린은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목이 길어요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토끼는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앞발이 짧아요</t>
    </r>
    <r>
      <rPr>
        <sz val="9"/>
        <rFont val="맑은 고딕"/>
        <family val="0"/>
        <charset val="1"/>
      </rPr>
      <t xml:space="preserve">. ③ </t>
    </r>
    <r>
      <rPr>
        <sz val="9"/>
        <rFont val="WenQuanYi Zen Hei"/>
        <family val="2"/>
      </rPr>
      <t xml:space="preserve">우리 학교는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운동장이 넓어요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</si>
  <si>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의미 단위로 끊어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</si>
  <si>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나라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내용에 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</si>
  <si>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— </t>
    </r>
    <r>
      <rPr>
        <sz val="9"/>
        <rFont val="WenQuanYi Zen Hei"/>
        <family val="2"/>
      </rPr>
      <t xml:space="preserve">나라 소개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한국은 동쪽에 있는 나라예요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한국의 수도는 서울이에요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한국 사람들은 한복을 입어요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— </t>
    </r>
    <r>
      <rPr>
        <sz val="9"/>
        <rFont val="WenQuanYi Zen Hei"/>
        <family val="2"/>
      </rPr>
      <t xml:space="preserve">방과후 활동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학교가 끝나면 미술 학원에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거기에서 그림을 그려요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그림 그리기는 정말 재미있어요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3 — </t>
    </r>
    <r>
      <rPr>
        <sz val="9"/>
        <rFont val="WenQuanYi Zen Hei"/>
        <family val="2"/>
      </rPr>
      <t xml:space="preserve">장래희망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제 꿈은 요리사예요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음식을 만드는 것이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어른이 되면 작은 식당을 차리고 싶어요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</si>
  <si>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글을 읽고 내용에 맞는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태극기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요리사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손가락으로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</si>
  <si>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나라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방과후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장래희망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찾아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</si>
  <si>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— </t>
    </r>
    <r>
      <rPr>
        <sz val="9"/>
        <rFont val="WenQuanYi Zen Hei"/>
        <family val="2"/>
      </rPr>
      <t xml:space="preserve">나라 소개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한국은 동쪽에 있는 나라예요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한국의 수도는 서울이에요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한국 사람들은 한복을 입어요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— </t>
    </r>
    <r>
      <rPr>
        <sz val="9"/>
        <rFont val="WenQuanYi Zen Hei"/>
        <family val="2"/>
      </rPr>
      <t xml:space="preserve">방과후 활동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학교가 끝나면 미술 학원에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거기에서 그림을 그려요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그림 그리기는 정말 재미있어요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3 — </t>
    </r>
    <r>
      <rPr>
        <sz val="9"/>
        <rFont val="WenQuanYi Zen Hei"/>
        <family val="2"/>
      </rPr>
      <t xml:space="preserve">장래희망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제 꿈은 요리사예요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음식을 만드는 것이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어른이 되면 작은 식당을 차리고 싶어요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수도가 어디예요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무엇을 배워요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꿈이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</si>
  <si>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서울이에요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그림을 배워요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요리사예요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주요 정보를 글에서 찾아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</si>
  <si>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알맞은 제목이나 주제를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</si>
  <si>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어제 친구와 놀이공원에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회전목마도 타고 솜사탕도 먹었어요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즐거웠어요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(</t>
    </r>
    <r>
      <rPr>
        <sz val="9"/>
        <rFont val="WenQuanYi Zen Hei"/>
        <family val="2"/>
      </rPr>
      <t xml:space="preserve">의견을 나타내는 글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저는 학교에서 휴대폰을 쓰면 안 된다고 생각해요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공부에 방해가 되기 때문이에요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제목 보기를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</si>
  <si>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글에 알맞은 제목이나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놀이공원에서 있었던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학교에서 휴대폰 사용에 대한 의견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문장 카드에서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</si>
  <si>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중요한 낱말이나 문장에 밑줄을 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</si>
  <si>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어제 친구와 놀이공원에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회전목마도 타고 솜사탕도 먹었어요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즐거웠어요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(</t>
    </r>
    <r>
      <rPr>
        <sz val="9"/>
        <rFont val="WenQuanYi Zen Hei"/>
        <family val="2"/>
      </rPr>
      <t xml:space="preserve">의견을 나타내는 글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저는 학교에서 휴대폰을 쓰면 안 된다고 생각해요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공부에 방해가 되기 때문이에요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</si>
  <si>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글의 중심이 되는 중요한 낱말이나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회전목마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휴대폰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공부에 방해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밑줄을 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</si>
  <si>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생활문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의견을 나타내는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중심 내용과 세부 내용을 구분한다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</si>
  <si>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— 우리 학교 운동회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우리 학교는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월에 운동회를 해요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중심 내용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학생들은 청팀과 백팀으로 나누어요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세부 내용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달리기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줄다리기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응원을 해요</t>
    </r>
    <r>
      <rPr>
        <sz val="9"/>
        <rFont val="맑은 고딕"/>
        <family val="0"/>
        <charset val="1"/>
      </rPr>
      <t xml:space="preserve">." (</t>
    </r>
    <r>
      <rPr>
        <sz val="9"/>
        <rFont val="WenQuanYi Zen Hei"/>
        <family val="2"/>
      </rPr>
      <t xml:space="preserve">세부 내용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</si>
  <si>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글에서 중심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우리 학교는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월에 운동회를 해요</t>
    </r>
    <r>
      <rPr>
        <sz val="9"/>
        <rFont val="맑은 고딕"/>
        <family val="0"/>
        <charset val="1"/>
      </rPr>
      <t xml:space="preserve">.)</t>
    </r>
    <r>
      <rPr>
        <sz val="9"/>
        <rFont val="WenQuanYi Zen Hei"/>
        <family val="2"/>
      </rPr>
      <t xml:space="preserve">과 세부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청팀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백팀으로 나눠요</t>
    </r>
    <r>
      <rPr>
        <sz val="9"/>
        <rFont val="맑은 고딕"/>
        <family val="0"/>
        <charset val="1"/>
      </rPr>
      <t xml:space="preserve">., </t>
    </r>
    <r>
      <rPr>
        <sz val="9"/>
        <rFont val="WenQuanYi Zen Hei"/>
        <family val="2"/>
      </rPr>
      <t xml:space="preserve">달리기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줄다리기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응원을 해요</t>
    </r>
    <r>
      <rPr>
        <sz val="9"/>
        <rFont val="맑은 고딕"/>
        <family val="0"/>
        <charset val="1"/>
      </rPr>
      <t xml:space="preserve">.)</t>
    </r>
    <r>
      <rPr>
        <sz val="9"/>
        <rFont val="WenQuanYi Zen Hei"/>
        <family val="2"/>
      </rPr>
      <t xml:space="preserve">을 구분해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</si>
  <si>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 방송문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가정통신문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가장 알맞은 제목이나 중심 문장을 보기에서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</si>
  <si>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(</t>
    </r>
    <r>
      <rPr>
        <sz val="9"/>
        <rFont val="WenQuanYi Zen Hei"/>
        <family val="2"/>
      </rPr>
      <t xml:space="preserve">기사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어제 우리 마을에 큰 비가 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길에 물이 많이 차서 사람들이 다니기 어려웠어요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다행히 다친 사람은 없었어요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(</t>
    </r>
    <r>
      <rPr>
        <sz val="9"/>
        <rFont val="WenQuanYi Zen Hei"/>
        <family val="2"/>
      </rPr>
      <t xml:space="preserve">가정통신문</t>
    </r>
    <r>
      <rPr>
        <sz val="9"/>
        <rFont val="맑은 고딕"/>
        <family val="0"/>
        <charset val="1"/>
      </rPr>
      <t xml:space="preserve">) — "5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일 월요일은 휴일이라서 학교에 오지 않아요</t>
    </r>
    <r>
      <rPr>
        <sz val="9"/>
        <rFont val="맑은 고딕"/>
        <family val="0"/>
        <charset val="1"/>
      </rPr>
      <t xml:space="preserve">. 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일 화요일부터 정상 수업을 합니다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제목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중심 문장 카드를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</si>
  <si>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글에 가장 알맞은 제목이나 중심 문장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마을에 큰 비가 온 날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큰 비가 왔어요</t>
    </r>
    <r>
      <rPr>
        <sz val="9"/>
        <rFont val="맑은 고딕"/>
        <family val="0"/>
        <charset val="1"/>
      </rPr>
      <t xml:space="preserve">.". "</t>
    </r>
    <r>
      <rPr>
        <sz val="9"/>
        <rFont val="WenQuanYi Zen Hei"/>
        <family val="2"/>
      </rPr>
      <t xml:space="preserve">휴일 안내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학교에 오지 않아요</t>
    </r>
    <r>
      <rPr>
        <sz val="9"/>
        <rFont val="맑은 고딕"/>
        <family val="0"/>
        <charset val="1"/>
      </rPr>
      <t xml:space="preserve">.")</t>
    </r>
    <r>
      <rPr>
        <sz val="9"/>
        <rFont val="WenQuanYi Zen Hei"/>
        <family val="2"/>
      </rPr>
      <t xml:space="preserve">을 문장 카드에서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</si>
  <si>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 방송문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가정통신문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중요한 낱말이나 문장에 밑줄 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</si>
  <si>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(</t>
    </r>
    <r>
      <rPr>
        <sz val="9"/>
        <rFont val="WenQuanYi Zen Hei"/>
        <family val="2"/>
      </rPr>
      <t xml:space="preserve">기사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어제 우리 마을에 큰 비가 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길에 물이 많이 차서 사람들이 다니기 어려웠어요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다행히 다친 사람은 없었어요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(</t>
    </r>
    <r>
      <rPr>
        <sz val="9"/>
        <rFont val="WenQuanYi Zen Hei"/>
        <family val="2"/>
      </rPr>
      <t xml:space="preserve">가정통신문</t>
    </r>
    <r>
      <rPr>
        <sz val="9"/>
        <rFont val="맑은 고딕"/>
        <family val="0"/>
        <charset val="1"/>
      </rPr>
      <t xml:space="preserve">) — "5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일 월요일은 휴일이라서 학교에 오지 않아요</t>
    </r>
    <r>
      <rPr>
        <sz val="9"/>
        <rFont val="맑은 고딕"/>
        <family val="0"/>
        <charset val="1"/>
      </rPr>
      <t xml:space="preserve">. 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일 화요일부터 정상 수업을 합니다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</si>
  <si>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글에서 중요한 낱말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큰 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사람들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휴일</t>
    </r>
    <r>
      <rPr>
        <sz val="9"/>
        <rFont val="맑은 고딕"/>
        <family val="0"/>
        <charset val="1"/>
      </rPr>
      <t xml:space="preserve">", "5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이나 문장에 밑줄을 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</si>
  <si>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편지글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초대장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가장 알맞은 제목이나 중심 문장을 보기에서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</si>
  <si>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(</t>
    </r>
    <r>
      <rPr>
        <sz val="9"/>
        <rFont val="WenQuanYi Zen Hei"/>
        <family val="2"/>
      </rPr>
      <t xml:space="preserve">편지글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민지에게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나야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수호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 주 토요일에 내 생일 파티를 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집으로 와 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같이 놀자</t>
    </r>
    <r>
      <rPr>
        <sz val="9"/>
        <rFont val="맑은 고딕"/>
        <family val="0"/>
        <charset val="1"/>
      </rPr>
      <t xml:space="preserve">. — </t>
    </r>
    <r>
      <rPr>
        <sz val="9"/>
        <rFont val="WenQuanYi Zen Hei"/>
        <family val="2"/>
      </rPr>
      <t xml:space="preserve">수호가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(</t>
    </r>
    <r>
      <rPr>
        <sz val="9"/>
        <rFont val="WenQuanYi Zen Hei"/>
        <family val="2"/>
      </rPr>
      <t xml:space="preserve">이솝 우화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여우가 포도를 보았어요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포도가 너무 높이 있었어요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여우는 따지 못해서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저 포도는 맛없을 거야</t>
    </r>
    <r>
      <rPr>
        <sz val="9"/>
        <rFont val="맑은 고딕"/>
        <family val="0"/>
        <charset val="1"/>
      </rPr>
      <t xml:space="preserve">.'</t>
    </r>
    <r>
      <rPr>
        <sz val="9"/>
        <rFont val="WenQuanYi Zen Hei"/>
        <family val="2"/>
      </rPr>
      <t xml:space="preserve">라고 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제목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중심 문장 보기를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</si>
  <si>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글에 알맞은 제목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수호의 생일 파티 초대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여우와 포도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이나 중심 문장을 문장 카드에서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</si>
  <si>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편지글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초대장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중요한 낱말이나 문장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개 이상에 밑줄 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</si>
  <si>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(</t>
    </r>
    <r>
      <rPr>
        <sz val="9"/>
        <rFont val="WenQuanYi Zen Hei"/>
        <family val="2"/>
      </rPr>
      <t xml:space="preserve">편지글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민지에게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나야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수호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 주 토요일에 내 생일 파티를 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집으로 와 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같이 놀자</t>
    </r>
    <r>
      <rPr>
        <sz val="9"/>
        <rFont val="맑은 고딕"/>
        <family val="0"/>
        <charset val="1"/>
      </rPr>
      <t xml:space="preserve">. — </t>
    </r>
    <r>
      <rPr>
        <sz val="9"/>
        <rFont val="WenQuanYi Zen Hei"/>
        <family val="2"/>
      </rPr>
      <t xml:space="preserve">수호가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(</t>
    </r>
    <r>
      <rPr>
        <sz val="9"/>
        <rFont val="WenQuanYi Zen Hei"/>
        <family val="2"/>
      </rPr>
      <t xml:space="preserve">이솝 우화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여우가 포도를 보았어요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포도가 너무 높이 있었어요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여우는 따지 못해서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저 포도는 맛없을 거야</t>
    </r>
    <r>
      <rPr>
        <sz val="9"/>
        <rFont val="맑은 고딕"/>
        <family val="0"/>
        <charset val="1"/>
      </rPr>
      <t xml:space="preserve">.'</t>
    </r>
    <r>
      <rPr>
        <sz val="9"/>
        <rFont val="WenQuanYi Zen Hei"/>
        <family val="2"/>
      </rPr>
      <t xml:space="preserve">라고 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</si>
  <si>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글에서 중요한 낱말이나 문장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생일 파티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토요일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여우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에 밑줄 한 개 이상을 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</si>
  <si>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했는지 각각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</si>
  <si>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주제의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1 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우리 가족은 작년 여름에 제주도에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거기에서 한라산을 봤어요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글 </t>
    </r>
    <r>
      <rPr>
        <sz val="9"/>
        <rFont val="맑은 고딕"/>
        <family val="0"/>
        <charset val="1"/>
      </rPr>
      <t xml:space="preserve">2 (</t>
    </r>
    <r>
      <rPr>
        <sz val="9"/>
        <rFont val="WenQuanYi Zen Hei"/>
        <family val="2"/>
      </rPr>
      <t xml:space="preserve">위인전</t>
    </r>
    <r>
      <rPr>
        <sz val="9"/>
        <rFont val="맑은 고딕"/>
        <family val="0"/>
        <charset val="1"/>
      </rPr>
      <t xml:space="preserve">) — "</t>
    </r>
    <r>
      <rPr>
        <sz val="9"/>
        <rFont val="WenQuanYi Zen Hei"/>
        <family val="2"/>
      </rPr>
      <t xml:space="preserve">이순신 장군은 옛날 우리나라의 장군이에요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거북선을 만들었어요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보기 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누가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어디에서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무엇을 했어요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</si>
  <si>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우리 가족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제주도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한라산을 봤어요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이순신 장군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옛날 우리나라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거북선을 만들었어요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각 항목에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</si>
  <si>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일의 순서대로 그림 카드로 나타낸다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</si>
  <si>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일의 순서가 있는 짧은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— 가족 여행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토요일 아침에 집에서 출발했어요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먼저 동물원에 가서 사자를 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점심에는 바닷가에 가서 회를 먹었어요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저녁에는 공원에서 불꽃놀이를 봤어요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장소 그림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동물원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바닷가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학생 앞에 흩어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</si>
  <si>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 속 장소를 순서대로 카드로 배열한다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집 → 동물원 → 바닷가 → 공원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집 동물원 바닷가 공원</t>
    </r>
  </si>
  <si>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내용과 맞는 문장에 동그라미를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</si>
  <si>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글과 함께 보기 문장 여러 개를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—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세종대왕은 한글을 만든 분이에요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옛날에는 글자가 어려웠지만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세종대왕이 쉬운 글자를 만들어 주셨어요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보기 — ① 세종대왕이 한글을 만들었어요</t>
    </r>
    <r>
      <rPr>
        <sz val="9"/>
        <rFont val="맑은 고딕"/>
        <family val="0"/>
        <charset val="1"/>
      </rPr>
      <t xml:space="preserve">. ( ) ② </t>
    </r>
    <r>
      <rPr>
        <sz val="9"/>
        <rFont val="WenQuanYi Zen Hei"/>
        <family val="2"/>
      </rPr>
      <t xml:space="preserve">세종대왕은 어려운 글자를 만들었어요</t>
    </r>
    <r>
      <rPr>
        <sz val="9"/>
        <rFont val="맑은 고딕"/>
        <family val="0"/>
        <charset val="1"/>
      </rPr>
      <t xml:space="preserve">. ( ) ③ </t>
    </r>
    <r>
      <rPr>
        <sz val="9"/>
        <rFont val="WenQuanYi Zen Hei"/>
        <family val="2"/>
      </rPr>
      <t xml:space="preserve">옛날 글자는 쉬웠어요</t>
    </r>
    <r>
      <rPr>
        <sz val="9"/>
        <rFont val="맑은 고딕"/>
        <family val="0"/>
        <charset val="1"/>
      </rPr>
      <t xml:space="preserve">. ( )</t>
    </r>
  </si>
  <si>
    <r>
      <rPr>
        <sz val="9"/>
        <rFont val="WenQuanYi Zen Hei"/>
        <family val="2"/>
      </rPr>
      <t xml:space="preserve">글 내용과 맞는 문장에 동그라미를 그린다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</si>
  <si>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동화나 이솝 우화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 — 흥부와 놀부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옛날에 흥부와 놀부 형제가 살았어요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흥부는 가난했어요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어느 날 흥부가 다친 제비 다리를 고쳐 줬어요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봄에 제비가 박씨를 가져왔어요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박에서 보물이 나왔어요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사건이 적힌 문장 카드를 흩어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</si>
  <si>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동화나 이솝 우화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 — 흥부와 놀부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옛날에 흥부와 놀부 형제가 살았어요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흥부는 가난했어요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어느 날 흥부가 다친 제비 다리를 고쳐 줬어요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봄에 제비가 박씨를 가져왔어요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박에서 보물이 나왔어요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</si>
  <si>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흥부가 제비 다리를 고쳐 줬어요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박에서 보물이 나왔어요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등장인물에게 생긴 일이 나타난 문장을 찾아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</si>
  <si>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인물의 생각이나 느낌을 나타내는 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설레다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기대되다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부끄럽다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걱정이 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속상하다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놀라다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</si>
  <si>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 — 흥부와 놀부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흥부는 박에서 보물이 나와서 즐거웠어요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놀부는 그 모습을 보고 부러웠어요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놀부도 박을 심어 봤지만 도깨비가 나와서 놀라고 무서웠어요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감정 낱말 카드를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</si>
  <si>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 속 인물의 생각이나 느낌을 나타내는 말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즐겁다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부럽다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놀라다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무섭다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을 골라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</si>
  <si>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 글을 읽고 가장 알맞은 제목이나 중심 문장을 보기에서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</si>
  <si>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 글 한 편을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물은 세 가지 상태가 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따뜻하게 하면 기체가 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차갑게 하면 고체가 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일반적으로는 액체이다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제목 보기와 중심 문장 보기를 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</si>
  <si>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알맞은 제목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물의 세 가지 상태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이나 중심 문장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물은 세 가지 상태가 있다</t>
    </r>
    <r>
      <rPr>
        <sz val="9"/>
        <rFont val="맑은 고딕"/>
        <family val="0"/>
        <charset val="1"/>
      </rPr>
      <t xml:space="preserve">.")</t>
    </r>
    <r>
      <rPr>
        <sz val="9"/>
        <rFont val="WenQuanYi Zen Hei"/>
        <family val="2"/>
      </rPr>
      <t xml:space="preserve">을 문장 카드에서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</si>
  <si>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글에서 설명하는 대상을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</si>
  <si>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교과서의 짧은 설명 글을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독수리는 큰 새예요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날개가 길고 부리가 뾰족해요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작은 동물을 잡아먹어요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 카드를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</si>
  <si>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글이 설명하는 대상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독수리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독수리 참새 비둘기 까마귀</t>
    </r>
  </si>
  <si>
    <r>
      <rPr>
        <sz val="9"/>
        <rFont val="WenQuanYi Zen Hei"/>
        <family val="2"/>
      </rPr>
      <t xml:space="preserve">교과서 글을 읽고 내용을 묻는 질문에 글 속 낱말을 사용해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</si>
  <si>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 글과 질문을 함께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나비는 알에서 시작해요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알이 깨면 애벌레가 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애벌레는 번데기가 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번데기 안에서 나비가 나와요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질문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나비는 처음에 무엇이에요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번데기 다음에 무엇이 나와요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</si>
  <si>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WenQuanYi Zen Hei"/>
        <family val="2"/>
      </rPr>
      <t xml:space="preserve">글 속 낱말을 사용해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알이에요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나비가 나와요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</si>
  <si>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이야기글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만화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사건 그림이나 문장을 순서대로 배열한다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</si>
  <si>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중 하나를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글 — 만화 줄거리 ① 민수는 학교에서 친구와 싸웠어요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집에 가서 엄마에게 이야기했어요</t>
    </r>
    <r>
      <rPr>
        <sz val="9"/>
        <rFont val="맑은 고딕"/>
        <family val="0"/>
        <charset val="1"/>
      </rPr>
      <t xml:space="preserve">. ③ </t>
    </r>
    <r>
      <rPr>
        <sz val="9"/>
        <rFont val="WenQuanYi Zen Hei"/>
        <family val="2"/>
      </rPr>
      <t xml:space="preserve">다음 날 친구에게 사과했어요</t>
    </r>
    <r>
      <rPr>
        <sz val="9"/>
        <rFont val="맑은 고딕"/>
        <family val="0"/>
        <charset val="1"/>
      </rPr>
      <t xml:space="preserve">. ④ </t>
    </r>
    <r>
      <rPr>
        <sz val="9"/>
        <rFont val="WenQuanYi Zen Hei"/>
        <family val="2"/>
      </rPr>
      <t xml:space="preserve">둘은 다시 친한 친구가 되었어요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</si>
  <si>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사건 그림 카드를 순서대로 배열한다</t>
    </r>
    <r>
      <rPr>
        <sz val="9"/>
        <rFont val="맑은 고딕"/>
        <family val="0"/>
        <charset val="1"/>
      </rPr>
      <t xml:space="preserve">. (①→②→③→④).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</si>
  <si>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이야기글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만화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줄거리와 맞지 않는 문장을 보기에서 골라 지운다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</si>
  <si>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글과 함께 줄거리에 맞지 않는 문장을 한두 개 섞어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 글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민수는 학교에서 친구와 싸웠어요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집에 가서 엄마에게 이야기했어요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민수는 김밥을 좋아해요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 날 친구에게 사과했어요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둘은 다시 친한 친구가 되었어요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</si>
  <si>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민수는 김밥을 좋아해요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줄거리와 맞지 않는 문장을 보기에서 골라 지운다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</si>
  <si>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자기 이름과 낱말을 보고 그대로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박지은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학교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교실 이름표 학교 교실</t>
    </r>
  </si>
  <si>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획을 차례대로 따라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</si>
  <si>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모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차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트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해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의 획 순서를 화살표로 표시해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</si>
  <si>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사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교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와 같이 자음과 모음의 배치가 다른 글자를 제시한다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학생이 빈칸에 글자를 쓸 때 자음과 모음의 위치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간격이 적절하여 글자를 알아볼 수 있는지 확인한다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</si>
  <si>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자기 이름을 또박또박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박지은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응우옌투안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알리세르</t>
    </r>
  </si>
  <si>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(10, </t>
    </r>
    <r>
      <rPr>
        <sz val="9"/>
        <rFont val="WenQuanYi Zen Hei"/>
        <family val="2"/>
      </rPr>
      <t xml:space="preserve">열 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학년</t>
    </r>
    <r>
      <rPr>
        <sz val="9"/>
        <rFont val="맑은 고딕"/>
        <family val="0"/>
        <charset val="1"/>
      </rPr>
      <t xml:space="preserve">(3, 3</t>
    </r>
    <r>
      <rPr>
        <sz val="9"/>
        <rFont val="WenQuanYi Zen Hei"/>
        <family val="2"/>
      </rPr>
      <t xml:space="preserve">학년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숫자와 낱말로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</si>
  <si>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몇 살이에요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몇 학년이에요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</si>
  <si>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나이와 학년을 숫자와 낱말로 함께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: 10 / </t>
    </r>
    <r>
      <rPr>
        <sz val="9"/>
        <rFont val="WenQuanYi Zen Hei"/>
        <family val="2"/>
      </rPr>
      <t xml:space="preserve">열 살 학년</t>
    </r>
    <r>
      <rPr>
        <sz val="9"/>
        <rFont val="맑은 고딕"/>
        <family val="0"/>
        <charset val="1"/>
      </rPr>
      <t xml:space="preserve">: 3 / 3</t>
    </r>
    <r>
      <rPr>
        <sz val="9"/>
        <rFont val="WenQuanYi Zen Hei"/>
        <family val="2"/>
      </rPr>
      <t xml:space="preserve">학년</t>
    </r>
  </si>
  <si>
    <r>
      <rPr>
        <sz val="9"/>
        <rFont val="WenQuanYi Zen Hei"/>
        <family val="2"/>
      </rPr>
      <t xml:space="preserve">인사말 카드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고맙습니다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보여준다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</si>
  <si>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인사말을 보고 그대로 따라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안녕하세요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고맙습니다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안녕히 계세요</t>
    </r>
  </si>
  <si>
    <r>
      <rPr>
        <sz val="9"/>
        <rFont val="WenQuanYi Zen Hei"/>
        <family val="2"/>
      </rPr>
      <t xml:space="preserve">시각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자동차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칠판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낱말을 쓴다</t>
    </r>
    <r>
      <rPr>
        <sz val="9"/>
        <rFont val="맑은 고딕"/>
        <family val="0"/>
        <charset val="1"/>
      </rPr>
      <t xml:space="preserve">. -</t>
    </r>
    <r>
      <rPr>
        <sz val="9"/>
        <rFont val="WenQuanYi Zen Hei"/>
        <family val="2"/>
      </rPr>
      <t xml:space="preserve">시각 자료 예시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사물의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등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사물과 일치하는 쓰기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</si>
  <si>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시계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자동차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칠판 등의 그림이나 사진을 보여준다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</si>
  <si>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시각 자료에 맞는 낱말을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[</t>
    </r>
    <r>
      <rPr>
        <sz val="9"/>
        <rFont val="WenQuanYi Zen Hei"/>
        <family val="2"/>
      </rPr>
      <t xml:space="preserve">시계 그림</t>
    </r>
    <r>
      <rPr>
        <sz val="9"/>
        <rFont val="맑은 고딕"/>
        <family val="0"/>
        <charset val="1"/>
      </rPr>
      <t xml:space="preserve">] → </t>
    </r>
    <r>
      <rPr>
        <sz val="9"/>
        <rFont val="WenQuanYi Zen Hei"/>
        <family val="2"/>
      </rPr>
      <t xml:space="preserve">시계 </t>
    </r>
    <r>
      <rPr>
        <sz val="9"/>
        <rFont val="맑은 고딕"/>
        <family val="0"/>
        <charset val="1"/>
      </rPr>
      <t xml:space="preserve">/ [</t>
    </r>
    <r>
      <rPr>
        <sz val="9"/>
        <rFont val="WenQuanYi Zen Hei"/>
        <family val="2"/>
      </rPr>
      <t xml:space="preserve">자동차 그림</t>
    </r>
    <r>
      <rPr>
        <sz val="9"/>
        <rFont val="맑은 고딕"/>
        <family val="0"/>
        <charset val="1"/>
      </rPr>
      <t xml:space="preserve">] → </t>
    </r>
    <r>
      <rPr>
        <sz val="9"/>
        <rFont val="WenQuanYi Zen Hei"/>
        <family val="2"/>
      </rPr>
      <t xml:space="preserve">자동차 </t>
    </r>
    <r>
      <rPr>
        <sz val="9"/>
        <rFont val="맑은 고딕"/>
        <family val="0"/>
        <charset val="1"/>
      </rPr>
      <t xml:space="preserve">/ [</t>
    </r>
    <r>
      <rPr>
        <sz val="9"/>
        <rFont val="WenQuanYi Zen Hei"/>
        <family val="2"/>
      </rPr>
      <t xml:space="preserve">칠판 그림</t>
    </r>
    <r>
      <rPr>
        <sz val="9"/>
        <rFont val="맑은 고딕"/>
        <family val="0"/>
        <charset val="1"/>
      </rPr>
      <t xml:space="preserve">] → </t>
    </r>
    <r>
      <rPr>
        <sz val="9"/>
        <rFont val="WenQuanYi Zen Hei"/>
        <family val="2"/>
      </rPr>
      <t xml:space="preserve">칠판 시계 자동차 칠판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</si>
  <si>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창문을 여는 모습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넣어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창문을 열어요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완성한다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</si>
  <si>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인물이 어떠한 행동을 하는 그림을 보여 주고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그림을 설명하는 빈칸이 있는 짧은 문장을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</si>
  <si>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그림에 맞는 짧은 문장의 빈칸에 적절한 낱말을 넣어 문장을 완성한다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창문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문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가방</t>
    </r>
  </si>
  <si>
    <r>
      <rPr>
        <sz val="9"/>
        <rFont val="WenQuanYi Zen Hei"/>
        <family val="2"/>
      </rPr>
      <t xml:space="preserve">여러 가지 물건 사진이나 그림을 보고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방에 피아노가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교실에 책상이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문장을 완성한다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</si>
  <si>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여러 물건 사진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 안 피아노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 책상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</si>
  <si>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방에 피아노가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교실에 책상이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거실에 소파가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방 안 피아노 교실 책상</t>
    </r>
  </si>
  <si>
    <r>
      <rPr>
        <sz val="9"/>
        <rFont val="WenQuanYi Zen Hei"/>
        <family val="2"/>
      </rPr>
      <t xml:space="preserve">인물이 하는 일을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편지를 써요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</si>
  <si>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인물이 어떠한 행동을 하는 그림을 보여준다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</si>
  <si>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한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편지를 써요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컴퓨터를 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</si>
  <si>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천천히 읽어 주는 익숙한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한국어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음악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실제 표기에 맞는 글자로 받아쓴다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</si>
  <si>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익숙한 낱말을 천천히 읽어준다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사회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수학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한국어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음악</t>
    </r>
    <r>
      <rPr>
        <sz val="9"/>
        <rFont val="맑은 고딕"/>
        <family val="0"/>
        <charset val="1"/>
      </rPr>
      <t xml:space="preserve">"</t>
    </r>
  </si>
  <si>
    <r>
      <rPr>
        <sz val="9"/>
        <rFont val="WenQuanYi Zen Hei"/>
        <family val="2"/>
      </rPr>
      <t xml:space="preserve">들은 낱말을 실제 표기에 맞게 받아쓴다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사회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수학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한국어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음악</t>
    </r>
  </si>
  <si>
    <r>
      <rPr>
        <sz val="9"/>
        <rFont val="WenQuanYi Zen Hei"/>
        <family val="2"/>
      </rPr>
      <t xml:space="preserve">그림을 보고 받침이 있는 어구와 문장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부엌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에서 요리를 해요</t>
    </r>
    <r>
      <rPr>
        <sz val="9"/>
        <rFont val="맑은 고딕"/>
        <family val="0"/>
        <charset val="1"/>
      </rPr>
      <t xml:space="preserve">. "</t>
    </r>
    <r>
      <rPr>
        <sz val="9"/>
        <rFont val="WenQuanYi Zen Hei"/>
        <family val="2"/>
      </rPr>
      <t xml:space="preserve">숲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으로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표기에 맞는 글자로 구별하여 받아쓴다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</si>
  <si>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그림카드를 제시하며 그림 카드에 적절한 받침이 있는 어구나 문장을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"'</t>
    </r>
    <r>
      <rPr>
        <sz val="9"/>
        <rFont val="WenQuanYi Zen Hei"/>
        <family val="2"/>
      </rPr>
      <t xml:space="preserve">부엌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에서 요리를 해요</t>
    </r>
    <r>
      <rPr>
        <sz val="9"/>
        <rFont val="맑은 고딕"/>
        <family val="0"/>
        <charset val="1"/>
      </rPr>
      <t xml:space="preserve">." / "'</t>
    </r>
    <r>
      <rPr>
        <sz val="9"/>
        <rFont val="WenQuanYi Zen Hei"/>
        <family val="2"/>
      </rPr>
      <t xml:space="preserve">숲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으로 가요</t>
    </r>
    <r>
      <rPr>
        <sz val="9"/>
        <rFont val="맑은 고딕"/>
        <family val="0"/>
        <charset val="1"/>
      </rPr>
      <t xml:space="preserve">." / "'</t>
    </r>
    <r>
      <rPr>
        <sz val="9"/>
        <rFont val="WenQuanYi Zen Hei"/>
        <family val="2"/>
      </rPr>
      <t xml:space="preserve">밭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에서 채소를 길러요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</si>
  <si>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들은 발음과 뜻에 맞는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부엌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숲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밭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구별해 받아쓴다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부엌에서 요리를 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숲으로 가요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밭에서 채소를 길러요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부엌에서 요리를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숲으로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밭에서 채소를 길러요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</si>
  <si>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사진 또는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놀이동산 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수영장 사진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겪은 일에 관해 여러 개의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 동산에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놀이 기구를 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재밌었어요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</si>
  <si>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놀이공원에 있는 학생의 사진을 보여 주며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날 무엇을 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</si>
  <si>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 여러 개로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놀이공원에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회전목마를 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솜사탕을 먹었어요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재미있었어요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</si>
  <si>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운동회 사진을 보여준다</t>
    </r>
    <r>
      <rPr>
        <sz val="9"/>
        <rFont val="맑은 고딕"/>
        <family val="0"/>
        <charset val="1"/>
      </rPr>
      <t xml:space="preserve">. "</t>
    </r>
    <r>
      <rPr>
        <sz val="9"/>
        <rFont val="WenQuanYi Zen Hei"/>
        <family val="2"/>
      </rPr>
      <t xml:space="preserve">운동회를 하는 날에는 어떤 것이 필요할까요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필요한 준비물을 작성해 봅시다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</si>
  <si>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 등 준비물 이름을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</si>
  <si>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“집에 가서 해야 할 일을 잊지 않도록 메모해 봅시다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해야할 일과 관련된 그림 카드를 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</si>
  <si>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보고 메모장에 “숙제하기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피아노 연습하기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우유 사기”와 같이 해야 할 일을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</si>
  <si>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대상과 특징을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강아지가 귀여워요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</si>
  <si>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강아지나 새 그림을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</si>
  <si>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한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강아지가 귀여워요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새가 작아요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토끼가 빨라요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</si>
  <si>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장소를 나타내는 말을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놀이터에서 놀아요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</si>
  <si>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어디에서 무엇을 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</si>
  <si>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한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놀이터에서 놀아요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도서관에서 책을 읽어요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</si>
  <si>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알맞은 까닭을 넣어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김밥은 맛있어서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졸려서 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</si>
  <si>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까닭을 나타내는 그림 카드와 행동을 나타내는 그림 카드를 함께 제시한다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‘</t>
    </r>
    <r>
      <rPr>
        <sz val="9"/>
        <rFont val="WenQuanYi Zen Hei"/>
        <family val="2"/>
      </rPr>
      <t xml:space="preserve">배가 고파요’ 카드와 ‘빵을 먹어요’ 카드를 보여 주고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학생이 작성하는 문장을 확인한다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</si>
  <si>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두 내용을 연결하여 “배가 고파서 빵을 먹어요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와 같이 까닭이 드러나는 한 문장을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</si>
  <si>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두 가지 행동을 이어서 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빵을 먹고 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</si>
  <si>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두 가지 행동 그림 카드를 순서대로 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</si>
  <si>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두 행동을 ‘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고’로 연결하여 “손을 씻고 밥을 먹어요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숙제를 하고 자요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와 같이 한 문장으로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</si>
  <si>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그림을 보고 주어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어머니께서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서술어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책을 읽으세요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어울리는 문장을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</si>
  <si>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책 읽는 사람 그림과 함께 두 가지 주어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친구가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어머니께서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</si>
  <si>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주어와 서술어가 어울리게 문장을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친구가 책을 읽어요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어머니께서 책을 읽으세요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</si>
  <si>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주어진 두 가지 이상의 낱말을 자연스럽게 이어 문장을 만든다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학교에 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</si>
  <si>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공부하다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주고 자연스러운 문장을 만들게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</si>
  <si>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두 가지 이상의 낱말을 자연스럽게 이어 문장을 만든다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학교에 가요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교실에서 공부해요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학교에 가서 교실에서 공부해요</t>
    </r>
    <r>
      <rPr>
        <sz val="9"/>
        <rFont val="맑은 고딕"/>
        <family val="0"/>
        <charset val="1"/>
      </rPr>
      <t xml:space="preserve">.</t>
    </r>
  </si>
  <si>
    <t xml:space="preserve">W-3-2-3</t>
  </si>
  <si>
    <r>
      <rPr>
        <sz val="9"/>
        <rFont val="WenQuanYi Zen Hei"/>
        <family val="2"/>
      </rPr>
      <t xml:space="preserve">시제에 맞는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지금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하고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할 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완성한다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</si>
  <si>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시간 낱말 카드 “어제”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지금”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내일”과 동작 그림 카드를 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</si>
  <si>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어제 놀이터에 갔어요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지금 책을 읽고 있어요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내일 친구를 만날 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와 같이 시간 표현에 맞게 문장을 쓴다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 놀이터 친구</t>
    </r>
  </si>
  <si>
    <r>
      <rPr>
        <sz val="9"/>
        <rFont val="WenQuanYi Zen Hei"/>
        <family val="2"/>
      </rPr>
      <t xml:space="preserve">소개하거나 설명할 대상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가족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학용품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이름과 특징을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</si>
  <si>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“좋아하는 물건이나 동물을 소개해 봅시다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생김새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좋아하는 이유를 포함하여 소개하는 글을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</si>
  <si>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“제가 좋아하는 물건은 파란 필통입니다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 필통은 작고 가벼워요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연필과 지우개를 넣을 수 있어서 좋아요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처럼 소개 대상의 이름과 특징을 넣어 짧은 글을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</si>
  <si>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읽는 사람에게 전하고 싶은 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글을 쓰는 까닭이 드러나게 편지를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</si>
  <si>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전하고 싶은 말과 편지를 쓰는 까닭이 잘 드러나게 편지를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</si>
  <si>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받는 사람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전하고 싶은 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까닭이 드러나게 편지를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사랑하는 어머니께 어머니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유리예요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어제 제가 학교에서 늦게 와서 많이 걱정하셨죠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정말 죄송해요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친구와 도서관에서 숙제를 하다가 시간이 가는 줄 몰랐어요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다음부터는 어머니께 먼저 전화드릴게요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죄송한 마음을 전하고 싶어서 이 편지를 써요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유리 올림</t>
    </r>
  </si>
  <si>
    <r>
      <rPr>
        <sz val="9"/>
        <rFont val="WenQuanYi Zen Hei"/>
        <family val="2"/>
      </rPr>
      <t xml:space="preserve">일상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문자 메세지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간략하게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</si>
  <si>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“친구에게 행사 정보를 알려 주는 짧은 메시지를 써 봅시다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행사 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날짜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준비물을 제시한다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어린이 그림 그리기 행사</t>
    </r>
    <r>
      <rPr>
        <sz val="9"/>
        <rFont val="맑은 고딕"/>
        <family val="0"/>
        <charset val="1"/>
      </rPr>
      <t xml:space="preserve">, 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오후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색연필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돗자리</t>
    </r>
  </si>
  <si>
    <r>
      <rPr>
        <sz val="9"/>
        <rFont val="WenQuanYi Zen Hei"/>
        <family val="2"/>
      </rPr>
      <t xml:space="preserve">“지우야</t>
    </r>
    <r>
      <rPr>
        <sz val="9"/>
        <rFont val="맑은 고딕"/>
        <family val="0"/>
        <charset val="1"/>
      </rPr>
      <t xml:space="preserve">, 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일 오후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시에 공원에서 어린이 그림 그리기 행사가 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색연필이랑 돗자리를 가져와</t>
    </r>
    <r>
      <rPr>
        <sz val="9"/>
        <rFont val="맑은 고딕"/>
        <family val="0"/>
        <charset val="1"/>
      </rPr>
      <t xml:space="preserve">.”</t>
    </r>
    <r>
      <rPr>
        <sz val="9"/>
        <rFont val="WenQuanYi Zen Hei"/>
        <family val="2"/>
      </rPr>
      <t xml:space="preserve">처럼 행사 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준비물이 드러나게 짧은 안내 글을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</si>
  <si>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간략하게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</si>
  <si>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학교 행사나 우리 학교의 상징을 친구에게 알리는 글을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</si>
  <si>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생활에 관한 정보를 전달하는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우리 학교의 상징은 은행나무입니다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가을이 되면 은행잎이 노랗게 물듭니다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학교에서는 은행나무 옆에서 가을 운동회를 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</si>
  <si>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학급 회의 안건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학급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체험학습 보고서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생각이나 주장을 뒷받침하는 이유를 들어 글을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</si>
  <si>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급식 시간에 음식을 남기지 말자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정해 주고 학급 회의나 보고서 형식으로 글을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</si>
  <si>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자기 생각과 그 이유를 들어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저는 급식 시간에 음식을 남기면 안 된다고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왜냐하면 음식을 만들기 위해 많은 사람들이 힘들게 일하시기 때문입니다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 우리 몸도 튼튼해지려면 골고루 먹어야 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</si>
  <si>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주어와 서술어가 어울리도록 문장을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</si>
  <si>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어색한 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내가 어머니께서 김밥을 먹어요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</si>
  <si>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주어와 서술어가 어울리게 다시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어머니께서 김밥을 만들어 주세요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나는 김밥을 먹어요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</si>
  <si>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 등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어미</t>
    </r>
    <r>
      <rPr>
        <sz val="9"/>
        <rFont val="맑은 고딕"/>
        <family val="0"/>
        <charset val="1"/>
      </rPr>
      <t xml:space="preserve">(-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,-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,-</t>
    </r>
    <r>
      <rPr>
        <sz val="9"/>
        <rFont val="WenQuanYi Zen Hei"/>
        <family val="2"/>
      </rPr>
      <t xml:space="preserve">다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시제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과거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현재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미래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고쳐 문장을 다시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</si>
  <si>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어색한 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나는 학교 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어제 책 읽고 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</si>
  <si>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조사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어미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시제를 알맞게 고쳐 문장을 다시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나는 학교에 가요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어제 책을 읽었어요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</si>
  <si>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자신이 겪은 일을 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행동이 드러나게 쓰고 그에 대한 느낌이나 생각을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</si>
  <si>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자신이 겪은 일을 시간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행동이 드러나게 쓰고 그에 대한 느낌이나 생각을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</si>
  <si>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행동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느낌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생각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모두 넣어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</t>
    </r>
    <r>
      <rPr>
        <sz val="9"/>
        <rFont val="맑은 고딕"/>
        <family val="0"/>
        <charset val="1"/>
      </rPr>
      <t xml:space="preserve">1) </t>
    </r>
    <r>
      <rPr>
        <sz val="9"/>
        <rFont val="WenQuanYi Zen Hei"/>
        <family val="2"/>
      </rPr>
      <t xml:space="preserve">지난 토요일 오후에 가족과 동네 공원에 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그곳에서 자전거를 타고 김밥을 먹었다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가족 모두 같이 시간을 보내서 정말 행복했다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다음에도 또 같이 가고 싶다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</t>
    </r>
    <r>
      <rPr>
        <sz val="9"/>
        <rFont val="맑은 고딕"/>
        <family val="0"/>
        <charset val="1"/>
      </rPr>
      <t xml:space="preserve">2) </t>
    </r>
    <r>
      <rPr>
        <sz val="9"/>
        <rFont val="WenQuanYi Zen Hei"/>
        <family val="2"/>
      </rPr>
      <t xml:space="preserve">어제 점심시간에 학교 운동장에서 친구와 축구를 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편이 이겨서 너무 신났다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친구들과 같이 운동을 하니 더 친해진 것 같아서 기분이 좋았다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</si>
  <si>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경험한 일을 시간에 따라 순서대로 쓰고 경험을 통해 느낀점을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</si>
  <si>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경험한 일을 시간 순서대로 쓰고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경험을 통해 느낀 점을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</si>
  <si>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시간의 흐름이 드러나게 쓰고 마지막에 느낀 점을 정리한다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지난 주말에 가족과 함께 시골 할머니 댁에 다녀왔다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토요일 아침에 출발해서 점심쯤 도착했다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도착해서 할머니가 만들어 주신 점심을 맛있게 먹었다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오후에는 할머니와 같이 밭에서 채소를 땄다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저녁에는 가족이 모두 모여 이야기를 나누었다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일요일 아침에 다시 집으로 돌아왔다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이번 여행을 통해 할머니가 얼마나 우리를 사랑해 주시는지 다시 한번 알게 되었다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앞으로 할머니께 더 자주 연락드려야겠다고 느꼈다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</si>
  <si>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문자 메세지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</si>
  <si>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친구에게 알려 줄 정보를 글로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광고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문자 메시지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</si>
  <si>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일상생활 정보를 전달하는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인터넷 게시글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반은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7</t>
    </r>
    <r>
      <rPr>
        <sz val="9"/>
        <rFont val="WenQuanYi Zen Hei"/>
        <family val="2"/>
      </rPr>
      <t xml:space="preserve">일 토요일 오후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시에 학교 체육관에서 학예회를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부모님과 친구들 모두 환영합니다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</si>
  <si>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생활에서 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교내 학교 행사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학교의 상징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</si>
  <si>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교내 학교 행사나 학교의 상징을 친구나 다른 학교 학생에게 알리는 글을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</si>
  <si>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생활에 관한 정보를 전달하는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ㅇㅇ초등학교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학년 박지은입니다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학교에서는 매년 여름에 책 축제를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학생들은 운동장에 있는 큰 소나무 그늘 아래에서 함께 책을 읽고 소감을 나눕니다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 소나무는 </t>
    </r>
    <r>
      <rPr>
        <sz val="9"/>
        <rFont val="맑은 고딕"/>
        <family val="0"/>
        <charset val="1"/>
      </rPr>
      <t xml:space="preserve">100</t>
    </r>
    <r>
      <rPr>
        <sz val="9"/>
        <rFont val="WenQuanYi Zen Hei"/>
        <family val="2"/>
      </rPr>
      <t xml:space="preserve">년이 넘은 우리 학교의 상징입니다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학교를 소개할 수 있어서 기쁩니다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</si>
  <si>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 등 학용품을 늘어놓고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연필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지우개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공책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이라고 한 단어씩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</si>
  <si>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학용품의 그림이나 실물을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연필 지우개 공책 자 풀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</si>
  <si>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등 음식 그림이나 실물을 보여 주고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포도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라고 한 단어씩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</si>
  <si>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음식의 그림이나 실물을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사과 포도 우유 빵 김치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</si>
  <si>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의자 등 생활 용품을 보여 주고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한 단어씩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</si>
  <si>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생활 용품을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모자 가방 책상 의자 신발</t>
    </r>
  </si>
  <si>
    <t xml:space="preserve">L-1-1-4</t>
  </si>
  <si>
    <r>
      <rPr>
        <sz val="9"/>
        <rFont val="WenQuanYi Zen Hei"/>
        <family val="2"/>
      </rPr>
      <t xml:space="preserve">신체 부위의 명칭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자신의 신체에서 해당 부위를 짚는다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</si>
  <si>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눈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코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입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귀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같은 신체 부위 이름을 한 단어씩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</si>
  <si>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신체 부위를 자기 몸에서 손가락으로 짚는다</t>
    </r>
    <r>
      <rPr>
        <sz val="9"/>
        <rFont val="맑은 고딕"/>
        <family val="0"/>
        <charset val="1"/>
      </rPr>
      <t xml:space="preserve">.</t>
    </r>
  </si>
  <si>
    <t xml:space="preserve">L-1-1-5</t>
  </si>
  <si>
    <r>
      <rPr>
        <sz val="9"/>
        <rFont val="WenQuanYi Zen Hei"/>
        <family val="2"/>
      </rPr>
      <t xml:space="preserve">교사가 말하는 색깔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빨강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찾아 손으로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</si>
  <si>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색깔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빨강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노랑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초록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학생 앞에 펼쳐 놓은 뒤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빨강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파랑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색깔 이름을 하나씩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</si>
  <si>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색깔 카드를 손으로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빨강 카드 파랑 카드 노랑 카드 초록 카드 보라 카드 주황 카드</t>
    </r>
  </si>
  <si>
    <r>
      <rPr>
        <sz val="9"/>
        <rFont val="WenQuanYi Zen Hei"/>
        <family val="2"/>
      </rPr>
      <t xml:space="preserve">다음 인사말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?" ② "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잘 가요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</si>
  <si>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상황에 맞게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안녕히 계세요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답한다</t>
    </r>
    <r>
      <rPr>
        <sz val="9"/>
        <rFont val="맑은 고딕"/>
        <family val="0"/>
        <charset val="1"/>
      </rPr>
      <t xml:space="preserve">. 1. </t>
    </r>
    <r>
      <rPr>
        <sz val="9"/>
        <rFont val="WenQuanYi Zen Hei"/>
        <family val="2"/>
      </rPr>
      <t xml:space="preserve">복도에서 만나 인사하는 장면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헤어질 때 손 흔드는 장면</t>
    </r>
  </si>
  <si>
    <r>
      <rPr>
        <sz val="9"/>
        <rFont val="WenQuanYi Zen Hei"/>
        <family val="2"/>
      </rPr>
      <t xml:space="preserve">헤어지는 상황의 그림카드를 제시하며 다음 인사말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안녕히 가세요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내일 봐요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잘 가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</si>
  <si>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손을 흔들거나 고개를 숙이는 등 인사말에 맞는 표정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몸짓을 보인다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수업 끝난 뒤 교실 문을 나서며 인사하는 장면</t>
    </r>
  </si>
  <si>
    <r>
      <rPr>
        <sz val="9"/>
        <rFont val="WenQuanYi Zen Hei"/>
        <family val="2"/>
      </rPr>
      <t xml:space="preserve">학교에서 사용하는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실내화를 신으세요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복도에서 뛰지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행동을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</si>
  <si>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학교에서 자주 듣는 지시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실내화를 신으세요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복도에서 뛰지 마세요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쓰레기는 쓰레기통에 버리세요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</si>
  <si>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지시를 듣고 그 행동을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</si>
  <si>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시간 내 사용하는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실험도구를 만지지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사용 후 제자리에 놓으세요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행동을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</si>
  <si>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시간 중 자주 듣는 지시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실험 도구를 만지지 마세요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사용 후 제자리에 놓으세요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조용히 발표를 들으세요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</si>
  <si>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교사의 지시를 듣고 알맞은 행동을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</si>
  <si>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소리와 일치하는 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이리 중에서 찾기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</si>
  <si>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여러 낱말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이리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제시한 뒤 “오리”라고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</si>
  <si>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말한 단어를 듣고 같은 낱말 카드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를 선택한다</t>
    </r>
    <r>
      <rPr>
        <sz val="9"/>
        <rFont val="맑은 고딕"/>
        <family val="0"/>
        <charset val="1"/>
      </rPr>
      <t xml:space="preserve">. 1. '</t>
    </r>
    <r>
      <rPr>
        <sz val="9"/>
        <rFont val="WenQuanYi Zen Hei"/>
        <family val="2"/>
      </rPr>
      <t xml:space="preserve">오리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 </t>
    </r>
    <r>
      <rPr>
        <sz val="9"/>
        <rFont val="맑은 고딕"/>
        <family val="0"/>
        <charset val="1"/>
      </rPr>
      <t xml:space="preserve">2. '</t>
    </r>
    <r>
      <rPr>
        <sz val="9"/>
        <rFont val="WenQuanYi Zen Hei"/>
        <family val="2"/>
      </rPr>
      <t xml:space="preserve">우리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 </t>
    </r>
    <r>
      <rPr>
        <sz val="9"/>
        <rFont val="맑은 고딕"/>
        <family val="0"/>
        <charset val="1"/>
      </rPr>
      <t xml:space="preserve">3. '</t>
    </r>
    <r>
      <rPr>
        <sz val="9"/>
        <rFont val="WenQuanYi Zen Hei"/>
        <family val="2"/>
      </rPr>
      <t xml:space="preserve">이리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</t>
    </r>
  </si>
  <si>
    <r>
      <rPr>
        <sz val="9"/>
        <rFont val="WenQuanYi Zen Hei"/>
        <family val="2"/>
      </rPr>
      <t xml:space="preserve">비슷한 소리가 나는 두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볼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달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구별하여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</si>
  <si>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비슷한 발음의 낱말 카드를 놓고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 단어를 말한다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: “</t>
    </r>
    <r>
      <rPr>
        <sz val="9"/>
        <rFont val="WenQuanYi Zen Hei"/>
        <family val="2"/>
      </rPr>
      <t xml:space="preserve">팔” ② 볼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: “</t>
    </r>
    <r>
      <rPr>
        <sz val="9"/>
        <rFont val="WenQuanYi Zen Hei"/>
        <family val="2"/>
      </rPr>
      <t xml:space="preserve">벌” ③ 달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딸</t>
    </r>
    <r>
      <rPr>
        <sz val="9"/>
        <rFont val="맑은 고딕"/>
        <family val="0"/>
        <charset val="1"/>
      </rPr>
      <t xml:space="preserve">: “</t>
    </r>
    <r>
      <rPr>
        <sz val="9"/>
        <rFont val="WenQuanYi Zen Hei"/>
        <family val="2"/>
      </rPr>
      <t xml:space="preserve">달”</t>
    </r>
  </si>
  <si>
    <r>
      <rPr>
        <sz val="9"/>
        <rFont val="WenQuanYi Zen Hei"/>
        <family val="2"/>
      </rPr>
      <t xml:space="preserve">비슷한 소리가 나는 두 단어를 듣고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팔”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벌”</t>
    </r>
    <r>
      <rPr>
        <sz val="9"/>
        <rFont val="맑은 고딕"/>
        <family val="0"/>
        <charset val="1"/>
      </rPr>
      <t xml:space="preserve">, “</t>
    </r>
    <r>
      <rPr>
        <sz val="9"/>
        <rFont val="WenQuanYi Zen Hei"/>
        <family val="2"/>
      </rPr>
      <t xml:space="preserve">달”과 같이 소리에 맞는 단어를 가리킨다</t>
    </r>
    <r>
      <rPr>
        <sz val="9"/>
        <rFont val="맑은 고딕"/>
        <family val="0"/>
        <charset val="1"/>
      </rPr>
      <t xml:space="preserve">. 1. '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 </t>
    </r>
    <r>
      <rPr>
        <sz val="9"/>
        <rFont val="맑은 고딕"/>
        <family val="0"/>
        <charset val="1"/>
      </rPr>
      <t xml:space="preserve">/ '</t>
    </r>
    <r>
      <rPr>
        <sz val="9"/>
        <rFont val="WenQuanYi Zen Hei"/>
        <family val="2"/>
      </rPr>
      <t xml:space="preserve">팔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 </t>
    </r>
    <r>
      <rPr>
        <sz val="9"/>
        <rFont val="맑은 고딕"/>
        <family val="0"/>
        <charset val="1"/>
      </rPr>
      <t xml:space="preserve">2. '</t>
    </r>
    <r>
      <rPr>
        <sz val="9"/>
        <rFont val="WenQuanYi Zen Hei"/>
        <family val="2"/>
      </rPr>
      <t xml:space="preserve">볼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 </t>
    </r>
    <r>
      <rPr>
        <sz val="9"/>
        <rFont val="맑은 고딕"/>
        <family val="0"/>
        <charset val="1"/>
      </rPr>
      <t xml:space="preserve">/ '</t>
    </r>
    <r>
      <rPr>
        <sz val="9"/>
        <rFont val="WenQuanYi Zen Hei"/>
        <family val="2"/>
      </rPr>
      <t xml:space="preserve">벌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 </t>
    </r>
    <r>
      <rPr>
        <sz val="9"/>
        <rFont val="맑은 고딕"/>
        <family val="0"/>
        <charset val="1"/>
      </rPr>
      <t xml:space="preserve">3. '</t>
    </r>
    <r>
      <rPr>
        <sz val="9"/>
        <rFont val="WenQuanYi Zen Hei"/>
        <family val="2"/>
      </rPr>
      <t xml:space="preserve">달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 </t>
    </r>
    <r>
      <rPr>
        <sz val="9"/>
        <rFont val="맑은 고딕"/>
        <family val="0"/>
        <charset val="1"/>
      </rPr>
      <t xml:space="preserve">/ '</t>
    </r>
    <r>
      <rPr>
        <sz val="9"/>
        <rFont val="WenQuanYi Zen Hei"/>
        <family val="2"/>
      </rPr>
      <t xml:space="preserve">딸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</t>
    </r>
  </si>
  <si>
    <r>
      <rPr>
        <sz val="9"/>
        <rFont val="WenQuanYi Zen Hei"/>
        <family val="2"/>
      </rPr>
      <t xml:space="preserve">도움을 요청하는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병원이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병원은 육교를 건너서 가요</t>
    </r>
    <r>
      <rPr>
        <sz val="9"/>
        <rFont val="맑은 고딕"/>
        <family val="0"/>
        <charset val="1"/>
      </rPr>
      <t xml:space="preserve">., </t>
    </r>
    <r>
      <rPr>
        <sz val="9"/>
        <rFont val="WenQuanYi Zen Hei"/>
        <family val="2"/>
      </rPr>
      <t xml:space="preserve">경찰서는 어디에 있어요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경찰서는 마트 오른쪽에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교사의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어디에 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병원은 어디에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적절한 답을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</si>
  <si>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길을 묻는 짧은 대화를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잘 들으세요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대본①</t>
    </r>
    <r>
      <rPr>
        <sz val="9"/>
        <rFont val="맑은 고딕"/>
        <family val="0"/>
        <charset val="1"/>
      </rPr>
      <t xml:space="preserve">] A: </t>
    </r>
    <r>
      <rPr>
        <sz val="9"/>
        <rFont val="WenQuanYi Zen Hei"/>
        <family val="2"/>
      </rPr>
      <t xml:space="preserve">병원이 어디에 있어요</t>
    </r>
    <r>
      <rPr>
        <sz val="9"/>
        <rFont val="맑은 고딕"/>
        <family val="0"/>
        <charset val="1"/>
      </rPr>
      <t xml:space="preserve">? B: </t>
    </r>
    <r>
      <rPr>
        <sz val="9"/>
        <rFont val="WenQuanYi Zen Hei"/>
        <family val="2"/>
      </rPr>
      <t xml:space="preserve">병원은 육교를 건너서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편의점 옆에 있어요</t>
    </r>
    <r>
      <rPr>
        <sz val="9"/>
        <rFont val="맑은 고딕"/>
        <family val="0"/>
        <charset val="1"/>
      </rPr>
      <t xml:space="preserve">. A: </t>
    </r>
    <r>
      <rPr>
        <sz val="9"/>
        <rFont val="WenQuanYi Zen Hei"/>
        <family val="2"/>
      </rPr>
      <t xml:space="preserve">감사합니다</t>
    </r>
    <r>
      <rPr>
        <sz val="9"/>
        <rFont val="맑은 고딕"/>
        <family val="0"/>
        <charset val="1"/>
      </rPr>
      <t xml:space="preserve">!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병원이 어디에 있어요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</si>
  <si>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병원은 육교를 건너서 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길을 묻는 짧은 대화를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잘 들으세요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_②] A: </t>
    </r>
    <r>
      <rPr>
        <sz val="9"/>
        <rFont val="WenQuanYi Zen Hei"/>
        <family val="2"/>
      </rPr>
      <t xml:space="preserve">경찰서는 어디에 있어요</t>
    </r>
    <r>
      <rPr>
        <sz val="9"/>
        <rFont val="맑은 고딕"/>
        <family val="0"/>
        <charset val="1"/>
      </rPr>
      <t xml:space="preserve">? B: </t>
    </r>
    <r>
      <rPr>
        <sz val="9"/>
        <rFont val="WenQuanYi Zen Hei"/>
        <family val="2"/>
      </rPr>
      <t xml:space="preserve">경찰서는 신호등을 건너서 왼쪽으로 가면 있어요</t>
    </r>
    <r>
      <rPr>
        <sz val="9"/>
        <rFont val="맑은 고딕"/>
        <family val="0"/>
        <charset val="1"/>
      </rPr>
      <t xml:space="preserve">. A: </t>
    </r>
    <r>
      <rPr>
        <sz val="9"/>
        <rFont val="WenQuanYi Zen Hei"/>
        <family val="2"/>
      </rPr>
      <t xml:space="preserve">알겠어요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감사합니다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경찰서는 어디에 있어요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"</t>
    </r>
    <r>
      <rPr>
        <sz val="9"/>
        <rFont val="WenQuanYi Zen Hei"/>
        <family val="2"/>
      </rPr>
      <t xml:space="preserve">경찰서는 신호등을 건너서 왼쪽에 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</si>
  <si>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정보를 묻는 짧은 대화를 들려준다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이건 얼마예요</t>
    </r>
    <r>
      <rPr>
        <sz val="9"/>
        <rFont val="맑은 고딕"/>
        <family val="0"/>
        <charset val="1"/>
      </rPr>
      <t xml:space="preserve">?" — "1,500</t>
    </r>
    <r>
      <rPr>
        <sz val="9"/>
        <rFont val="WenQuanYi Zen Hei"/>
        <family val="2"/>
      </rPr>
      <t xml:space="preserve">원이에요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?" — "10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20</t>
    </r>
    <r>
      <rPr>
        <sz val="9"/>
        <rFont val="WenQuanYi Zen Hei"/>
        <family val="2"/>
      </rPr>
      <t xml:space="preserve">분이에요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어디에서 와요</t>
    </r>
    <r>
      <rPr>
        <sz val="9"/>
        <rFont val="맑은 고딕"/>
        <family val="0"/>
        <charset val="1"/>
      </rPr>
      <t xml:space="preserve">?" — "</t>
    </r>
    <r>
      <rPr>
        <sz val="9"/>
        <rFont val="WenQuanYi Zen Hei"/>
        <family val="2"/>
      </rPr>
      <t xml:space="preserve">도서관에서 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보기 카드를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</si>
  <si>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대화에서 들은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보기를 가리킨다</t>
    </r>
    <r>
      <rPr>
        <sz val="9"/>
        <rFont val="맑은 고딕"/>
        <family val="0"/>
        <charset val="1"/>
      </rPr>
      <t xml:space="preserve">. 1. </t>
    </r>
    <r>
      <rPr>
        <sz val="9"/>
        <rFont val="WenQuanYi Zen Hei"/>
        <family val="2"/>
      </rPr>
      <t xml:space="preserve">특정 시각이 표시된 시계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가격표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마트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놀이터 등이 제시된 동네 지도 그림</t>
    </r>
  </si>
  <si>
    <r>
      <rPr>
        <sz val="9"/>
        <rFont val="WenQuanYi Zen Hei"/>
        <family val="2"/>
      </rPr>
      <t xml:space="preserve">감정을 나타내는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 기분이 어때요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기분이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떨려요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즐거워요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화가 나요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적절한 감정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</si>
  <si>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감정 대화를 들려준다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오늘 기분이 어때요</t>
    </r>
    <r>
      <rPr>
        <sz val="9"/>
        <rFont val="맑은 고딕"/>
        <family val="0"/>
        <charset val="1"/>
      </rPr>
      <t xml:space="preserve">?" — "</t>
    </r>
    <r>
      <rPr>
        <sz val="9"/>
        <rFont val="WenQuanYi Zen Hei"/>
        <family val="2"/>
      </rPr>
      <t xml:space="preserve">기분이 좋아요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오늘 기분이 어때요</t>
    </r>
    <r>
      <rPr>
        <sz val="9"/>
        <rFont val="맑은 고딕"/>
        <family val="0"/>
        <charset val="1"/>
      </rPr>
      <t xml:space="preserve">?" — "</t>
    </r>
    <r>
      <rPr>
        <sz val="9"/>
        <rFont val="WenQuanYi Zen Hei"/>
        <family val="2"/>
      </rPr>
      <t xml:space="preserve">싫어요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오늘 기분이 어때요</t>
    </r>
    <r>
      <rPr>
        <sz val="9"/>
        <rFont val="맑은 고딕"/>
        <family val="0"/>
        <charset val="1"/>
      </rPr>
      <t xml:space="preserve">?" — "</t>
    </r>
    <r>
      <rPr>
        <sz val="9"/>
        <rFont val="WenQuanYi Zen Hei"/>
        <family val="2"/>
      </rPr>
      <t xml:space="preserve">떨려요</t>
    </r>
    <r>
      <rPr>
        <sz val="9"/>
        <rFont val="맑은 고딕"/>
        <family val="0"/>
        <charset val="1"/>
      </rPr>
      <t xml:space="preserve">." ④ "</t>
    </r>
    <r>
      <rPr>
        <sz val="9"/>
        <rFont val="WenQuanYi Zen Hei"/>
        <family val="2"/>
      </rPr>
      <t xml:space="preserve">오늘 기분이 어때요</t>
    </r>
    <r>
      <rPr>
        <sz val="9"/>
        <rFont val="맑은 고딕"/>
        <family val="0"/>
        <charset val="1"/>
      </rPr>
      <t xml:space="preserve">?" — "</t>
    </r>
    <r>
      <rPr>
        <sz val="9"/>
        <rFont val="WenQuanYi Zen Hei"/>
        <family val="2"/>
      </rPr>
      <t xml:space="preserve">즐거워요</t>
    </r>
    <r>
      <rPr>
        <sz val="9"/>
        <rFont val="맑은 고딕"/>
        <family val="0"/>
        <charset val="1"/>
      </rPr>
      <t xml:space="preserve">." ⑤ "</t>
    </r>
    <r>
      <rPr>
        <sz val="9"/>
        <rFont val="WenQuanYi Zen Hei"/>
        <family val="2"/>
      </rPr>
      <t xml:space="preserve">오늘 기분이 어때요</t>
    </r>
    <r>
      <rPr>
        <sz val="9"/>
        <rFont val="맑은 고딕"/>
        <family val="0"/>
        <charset val="1"/>
      </rPr>
      <t xml:space="preserve">?" — "</t>
    </r>
    <r>
      <rPr>
        <sz val="9"/>
        <rFont val="WenQuanYi Zen Hei"/>
        <family val="2"/>
      </rPr>
      <t xml:space="preserve">화가 나요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감정 그림 카드를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</si>
  <si>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대화에 나온 감정에 맞는 그림을 가리킨다</t>
    </r>
    <r>
      <rPr>
        <sz val="9"/>
        <rFont val="맑은 고딕"/>
        <family val="0"/>
        <charset val="1"/>
      </rPr>
      <t xml:space="preserve">. 1. </t>
    </r>
    <r>
      <rPr>
        <sz val="9"/>
        <rFont val="WenQuanYi Zen Hei"/>
        <family val="2"/>
      </rPr>
      <t xml:space="preserve">기분이 좋은 표정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싫어하는 표정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떨리는 표정 그림 </t>
    </r>
    <r>
      <rPr>
        <sz val="9"/>
        <rFont val="맑은 고딕"/>
        <family val="0"/>
        <charset val="1"/>
      </rPr>
      <t xml:space="preserve">4. </t>
    </r>
    <r>
      <rPr>
        <sz val="9"/>
        <rFont val="WenQuanYi Zen Hei"/>
        <family val="2"/>
      </rPr>
      <t xml:space="preserve">즐거운 표정 그림 </t>
    </r>
    <r>
      <rPr>
        <sz val="9"/>
        <rFont val="맑은 고딕"/>
        <family val="0"/>
        <charset val="1"/>
      </rPr>
      <t xml:space="preserve">5. </t>
    </r>
    <r>
      <rPr>
        <sz val="9"/>
        <rFont val="WenQuanYi Zen Hei"/>
        <family val="2"/>
      </rPr>
      <t xml:space="preserve">화가 난 표정 그림 그림 그림</t>
    </r>
  </si>
  <si>
    <r>
      <rPr>
        <sz val="9"/>
        <rFont val="WenQuanYi Zen Hei"/>
        <family val="2"/>
      </rPr>
      <t xml:space="preserve">교사의 수업 안내 문장</t>
    </r>
    <r>
      <rPr>
        <sz val="9"/>
        <rFont val="맑은 고딕"/>
        <family val="0"/>
        <charset val="1"/>
      </rPr>
      <t xml:space="preserve">(~~</t>
    </r>
    <r>
      <rPr>
        <sz val="9"/>
        <rFont val="WenQuanYi Zen Hei"/>
        <family val="2"/>
      </rPr>
      <t xml:space="preserve">를 조사하세요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알맞은 그림을 찾아보세요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모둠을 만드세요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행동을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</si>
  <si>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수업 안내 중 하나를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교과서 </t>
    </r>
    <r>
      <rPr>
        <sz val="9"/>
        <rFont val="맑은 고딕"/>
        <family val="0"/>
        <charset val="1"/>
      </rPr>
      <t xml:space="preserve">15</t>
    </r>
    <r>
      <rPr>
        <sz val="9"/>
        <rFont val="WenQuanYi Zen Hei"/>
        <family val="2"/>
      </rPr>
      <t xml:space="preserve">쪽을 펴세요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연필을 내려놓고 화면을 보세요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중요한 부분에 밑줄을 그으세요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</si>
  <si>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교사의 안내를 듣고 해당 행동을 수행하는 알맞은 그림을 찾을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</si>
  <si>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주변 사물의 위치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필통 안에 자가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사물함 안에 휴지가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그림을 손가락으로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</si>
  <si>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사물의 위치를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필통 안에 자가 있어요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사물함 안에 휴지가 있어요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책상 위에 컵이 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그림을 여러 장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</si>
  <si>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들은 위치 설명과 맞는 그림을 손가락으로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교실 사물 위치 그림</t>
    </r>
  </si>
  <si>
    <r>
      <rPr>
        <sz val="9"/>
        <rFont val="WenQuanYi Zen Hei"/>
        <family val="2"/>
      </rPr>
      <t xml:space="preserve">주변 대상의 색깔이나 크기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작은 자전거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녹색 신호등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하얀 구름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</si>
  <si>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예시처럼 색깔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크기를 포함한 말을 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작은 자전거</t>
    </r>
    <r>
      <rPr>
        <sz val="9"/>
        <rFont val="맑은 고딕"/>
        <family val="0"/>
        <charset val="1"/>
      </rPr>
      <t xml:space="preserve">" ② "</t>
    </r>
    <r>
      <rPr>
        <sz val="9"/>
        <rFont val="WenQuanYi Zen Hei"/>
        <family val="2"/>
      </rPr>
      <t xml:space="preserve">녹색 신호등</t>
    </r>
    <r>
      <rPr>
        <sz val="9"/>
        <rFont val="맑은 고딕"/>
        <family val="0"/>
        <charset val="1"/>
      </rPr>
      <t xml:space="preserve">" ③ "</t>
    </r>
    <r>
      <rPr>
        <sz val="9"/>
        <rFont val="WenQuanYi Zen Hei"/>
        <family val="2"/>
      </rPr>
      <t xml:space="preserve">하얀 구름</t>
    </r>
    <r>
      <rPr>
        <sz val="9"/>
        <rFont val="맑은 고딕"/>
        <family val="0"/>
        <charset val="1"/>
      </rPr>
      <t xml:space="preserve">"</t>
    </r>
  </si>
  <si>
    <r>
      <rPr>
        <sz val="9"/>
        <rFont val="WenQuanYi Zen Hei"/>
        <family val="2"/>
      </rPr>
      <t xml:space="preserve">들은 말에 맞는 그림을 손가락으로 가리킨다</t>
    </r>
    <r>
      <rPr>
        <sz val="9"/>
        <rFont val="맑은 고딕"/>
        <family val="0"/>
        <charset val="1"/>
      </rPr>
      <t xml:space="preserve">. 1. </t>
    </r>
    <r>
      <rPr>
        <sz val="9"/>
        <rFont val="WenQuanYi Zen Hei"/>
        <family val="2"/>
      </rPr>
      <t xml:space="preserve">작은 자전거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녹색 신호등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하얀 구름 그림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큰 자전거 그림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적색 신호등 그림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검은 구름 그림</t>
    </r>
  </si>
  <si>
    <r>
      <rPr>
        <sz val="9"/>
        <rFont val="WenQuanYi Zen Hei"/>
        <family val="2"/>
      </rPr>
      <t xml:space="preserve">교사가 천천히 말한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공책과 필통이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문장과 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</si>
  <si>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그림 카드를 학생 앞에 놓고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다음 문장 중 하나를 천천히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가방 안에 공책과 필통이 있어요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책상 위에 책과 연필이 있어요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사물함 안에 실내화와 우산이 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</si>
  <si>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교사가 말한 문장과 맞는 그림을 손가락으로 가리킨다</t>
    </r>
    <r>
      <rPr>
        <sz val="9"/>
        <rFont val="맑은 고딕"/>
        <family val="0"/>
        <charset val="1"/>
      </rPr>
      <t xml:space="preserve">. 1. </t>
    </r>
    <r>
      <rPr>
        <sz val="9"/>
        <rFont val="WenQuanYi Zen Hei"/>
        <family val="2"/>
      </rPr>
      <t xml:space="preserve">가방 안에 공책과 필통이 있는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책상 위에 책과 연필이 있는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사물함 안에 실내화와 우산이 그림 그림 있는 그림</t>
    </r>
  </si>
  <si>
    <r>
      <rPr>
        <sz val="9"/>
        <rFont val="WenQuanYi Zen Hei"/>
        <family val="2"/>
      </rPr>
      <t xml:space="preserve">교사가 천천히 말한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오늘은 몇 월 며칠이에요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</si>
  <si>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질문 중 하나를 천천히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오늘은 몇 월 며칠이에요</t>
    </r>
    <r>
      <rPr>
        <sz val="9"/>
        <rFont val="맑은 고딕"/>
        <family val="0"/>
        <charset val="1"/>
      </rPr>
      <t xml:space="preserve">?" ② "</t>
    </r>
    <r>
      <rPr>
        <sz val="9"/>
        <rFont val="WenQuanYi Zen Hei"/>
        <family val="2"/>
      </rPr>
      <t xml:space="preserve">지금 몇 시예요</t>
    </r>
    <r>
      <rPr>
        <sz val="9"/>
        <rFont val="맑은 고딕"/>
        <family val="0"/>
        <charset val="1"/>
      </rPr>
      <t xml:space="preserve">?" ③ "</t>
    </r>
    <r>
      <rPr>
        <sz val="9"/>
        <rFont val="WenQuanYi Zen Hei"/>
        <family val="2"/>
      </rPr>
      <t xml:space="preserve">오늘 날씨는 어때요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</si>
  <si>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일이에요</t>
    </r>
    <r>
      <rPr>
        <sz val="9"/>
        <rFont val="맑은 고딕"/>
        <family val="0"/>
        <charset val="1"/>
      </rPr>
      <t xml:space="preserve">.", "9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30</t>
    </r>
    <r>
      <rPr>
        <sz val="9"/>
        <rFont val="WenQuanYi Zen Hei"/>
        <family val="2"/>
      </rPr>
      <t xml:space="preserve">분이에요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흐려요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짧은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</si>
  <si>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천천히 말한 지시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큰 소리로 말하세요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수행한다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</si>
  <si>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지시 중 하나를 천천히 말한다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바른 자세로 앉으세요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큰 소리로 말하세요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공책에 받아 적으세요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</si>
  <si>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취미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행사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이야기를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질문에 알맞게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</si>
  <si>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이야기 중 하나를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친숙한 주제의 짧은 이야기 예시①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제 취미는 그림 그리기예요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주말에 시간이 있으면 그림을 그려요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학교 미술 시간이 제일 좋아요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취미가 뭐예요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</si>
  <si>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그림 그리기예요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들은 내용으로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친숙한 주제의 짧은 이야기 중 하나를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친숙한 주제의 짧은 이야기 예시②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지난 여름에 우리 가족은 강원도로 여행을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바다에서 수영을 하고 회도 먹었어요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어디로 여행 갔어요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"</t>
    </r>
    <r>
      <rPr>
        <sz val="9"/>
        <rFont val="WenQuanYi Zen Hei"/>
        <family val="2"/>
      </rPr>
      <t xml:space="preserve">강원도예요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들은 내용으로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친숙한 주제의 짧은 이야기 중 하나를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친숙한 주제의 짧은 이야기 예시③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다음 주에 우리 학교는 체육대회를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청팀과 백팀으로 나누어요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달리기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줄다리기를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언제 체육대회를 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"</t>
    </r>
    <r>
      <rPr>
        <sz val="9"/>
        <rFont val="WenQuanYi Zen Hei"/>
        <family val="2"/>
      </rPr>
      <t xml:space="preserve">다음 주예요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들은 내용으로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</si>
  <si>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이야기 중 하나를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친숙한 주제의 짧은 이야기 예시①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우리 가족을 소개할게요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아버지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어머니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저에요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오빠는 중학교에 다녀요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이야기는 무슨 내용이에요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</si>
  <si>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가족을 소개하는 내용이에요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이야기의 주요 내용을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친숙한 주제의 짧은 이야기 중 하나를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친숙한 주제의 짧은 이야기 예시②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저는 방과후에 태권도를 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화요일하고 목요일에 학교 끝나고 태권도장에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벌써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년이 됐어요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이야기는 무슨 내용이에요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"</t>
    </r>
    <r>
      <rPr>
        <sz val="9"/>
        <rFont val="WenQuanYi Zen Hei"/>
        <family val="2"/>
      </rPr>
      <t xml:space="preserve">태권도를 배우는 내용이예요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이야기의 주요 내용을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친숙한 주제의 짧은 이야기 중 하나를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친숙한 주제의 짧은 이야기 예시③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저는 커서 선생님이 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아이들을 가르치는 게 재미있을 것 같아요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그래서 요즘 공부를 열심히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이야기는 무슨 내용이에요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"</t>
    </r>
    <r>
      <rPr>
        <sz val="9"/>
        <rFont val="WenQuanYi Zen Hei"/>
        <family val="2"/>
      </rPr>
      <t xml:space="preserve">장래희망에 대한 내용이에요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이야기의 주요 내용을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</si>
  <si>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날씨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비가 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추워요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이어질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우산을 가져가요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두꺼운 옷을 입으세요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짐작해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</si>
  <si>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대화를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오늘 날씨는 어때요</t>
    </r>
    <r>
      <rPr>
        <sz val="9"/>
        <rFont val="맑은 고딕"/>
        <family val="0"/>
        <charset val="1"/>
      </rPr>
      <t xml:space="preserve">?" — "</t>
    </r>
    <r>
      <rPr>
        <sz val="9"/>
        <rFont val="WenQuanYi Zen Hei"/>
        <family val="2"/>
      </rPr>
      <t xml:space="preserve">비가 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추워요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(</t>
    </r>
    <r>
      <rPr>
        <sz val="9"/>
        <rFont val="WenQuanYi Zen Hei"/>
        <family val="2"/>
      </rPr>
      <t xml:space="preserve">이어서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그럼 어떻게 해야 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</si>
  <si>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우산을 가져가요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두꺼운 옷을 입으세요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이어질 내용을 짐작해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</si>
  <si>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이야기의 앞부분을 듣고 이어질 내용에 해당하는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</si>
  <si>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이야기의 앞부분만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대본①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민지는 밖에 비가 오는 것을 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그래서 가방에서 무엇인가를 꺼냈어요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민지가 가방에서 꺼내는 것은 무엇일까요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</si>
  <si>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이어질 내용에 알맞은 그림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우산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짧은 이야기의 앞부분만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대본②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민수는 아침에 일어나 학교 갈 준비를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가방을 챙기다가 알림장을 보니 오늘 체육 시간에 줄넘기가 필요하다고 쓰여 있었어요</t>
    </r>
    <r>
      <rPr>
        <sz val="9"/>
        <rFont val="맑은 고딕"/>
        <family val="0"/>
        <charset val="1"/>
      </rPr>
      <t xml:space="preserve">.“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민수가 가방에 챙기는 물건은 무엇일까요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학생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이어질 내용에 알맞은 그림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줄넘기를 가방에 넣는 그림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듣기 대본① </t>
    </r>
    <r>
      <rPr>
        <sz val="9"/>
        <rFont val="맑은 고딕"/>
        <family val="0"/>
        <charset val="1"/>
      </rPr>
      <t xml:space="preserve">1. </t>
    </r>
    <r>
      <rPr>
        <sz val="9"/>
        <rFont val="WenQuanYi Zen Hei"/>
        <family val="2"/>
      </rPr>
      <t xml:space="preserve">가방에서 우산을 꺼내는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가방에서 칫솔을 꺼내는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가방에서 연필을 꺼내는 그림 듣기 대본② </t>
    </r>
    <r>
      <rPr>
        <sz val="9"/>
        <rFont val="맑은 고딕"/>
        <family val="0"/>
        <charset val="1"/>
      </rPr>
      <t xml:space="preserve">1. </t>
    </r>
    <r>
      <rPr>
        <sz val="9"/>
        <rFont val="WenQuanYi Zen Hei"/>
        <family val="2"/>
      </rPr>
      <t xml:space="preserve">줄넘기를 가방에 넣는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교과서를 가방에 넣는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체육복을 가방에 넣는 그림</t>
    </r>
  </si>
  <si>
    <r>
      <rPr>
        <sz val="9"/>
        <rFont val="WenQuanYi Zen Hei"/>
        <family val="2"/>
      </rPr>
      <t xml:space="preserve">학교생활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체육대회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 규칙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건강 위생관리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내용에 알맞은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</si>
  <si>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학교생활 안내를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안내① 현장체험학습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내일 현장체험학습으로 박물관에 갑니다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아침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시까지 학교 운동장에 모이세요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도시락과 물병을 가지고 오세요</t>
    </r>
    <r>
      <rPr>
        <sz val="9"/>
        <rFont val="맑은 고딕"/>
        <family val="0"/>
        <charset val="1"/>
      </rPr>
      <t xml:space="preserve">." [</t>
    </r>
    <r>
      <rPr>
        <sz val="9"/>
        <rFont val="WenQuanYi Zen Hei"/>
        <family val="2"/>
      </rPr>
      <t xml:space="preserve">안내② 도서관 규칙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도서관에서는 조용히 책을 읽어요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음식은 가지고 오면 안 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책을 빌릴 때는 사서 선생님께 말해요</t>
    </r>
    <r>
      <rPr>
        <sz val="9"/>
        <rFont val="맑은 고딕"/>
        <family val="0"/>
        <charset val="1"/>
      </rPr>
      <t xml:space="preserve">." [</t>
    </r>
    <r>
      <rPr>
        <sz val="9"/>
        <rFont val="WenQuanYi Zen Hei"/>
        <family val="2"/>
      </rPr>
      <t xml:space="preserve">안내③ 건강 위생관리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교실에 들어올 때 손을 깨끗하게 씻어요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기침할 때는 입을 가려요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마스크를 잘 써요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</si>
  <si>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안내 내용에 맞는 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박물관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도시락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도서관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손 씻기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마스크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골라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안내① 현장체험학습 </t>
    </r>
    <r>
      <rPr>
        <sz val="9"/>
        <rFont val="맑은 고딕"/>
        <family val="0"/>
        <charset val="1"/>
      </rPr>
      <t xml:space="preserve">1. </t>
    </r>
    <r>
      <rPr>
        <sz val="9"/>
        <rFont val="WenQuanYi Zen Hei"/>
        <family val="2"/>
      </rPr>
      <t xml:space="preserve">집에서 도시락과 물병을 챙기는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교실에 모이는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동물원으로 현장체험학습을 간 그림 안내② 도서관 규칙 </t>
    </r>
    <r>
      <rPr>
        <sz val="9"/>
        <rFont val="맑은 고딕"/>
        <family val="0"/>
        <charset val="1"/>
      </rPr>
      <t xml:space="preserve">1. </t>
    </r>
    <r>
      <rPr>
        <sz val="9"/>
        <rFont val="WenQuanYi Zen Hei"/>
        <family val="2"/>
      </rPr>
      <t xml:space="preserve">도서관에서 조용히 책을 읽는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도서관에서 햄버거를 먹는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도서관에서 책을 가지고 나가는 그림 안내③ 건강 위생관리 </t>
    </r>
    <r>
      <rPr>
        <sz val="9"/>
        <rFont val="맑은 고딕"/>
        <family val="0"/>
        <charset val="1"/>
      </rPr>
      <t xml:space="preserve">1. </t>
    </r>
    <r>
      <rPr>
        <sz val="9"/>
        <rFont val="WenQuanYi Zen Hei"/>
        <family val="2"/>
      </rPr>
      <t xml:space="preserve">화장실에서 손을 비누로 닦는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입을 가리지 않고 기침하는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마스크를 입 아래로 쓰고 있는 그림</t>
    </r>
  </si>
  <si>
    <r>
      <rPr>
        <sz val="9"/>
        <rFont val="WenQuanYi Zen Hei"/>
        <family val="2"/>
      </rPr>
      <t xml:space="preserve">일상생활 안내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지역별 일기 예보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키오스크 사용 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지역 행사 알림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질문에 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</si>
  <si>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일상생활 안내를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안내① 지역 일기 예보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오늘 오후부터 비가 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우산을 꼭 가지고 다니세요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내일은 맑겠습니다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오늘 날씨를 그림에서 골라보세요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안내② 키오스크 사용 방법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메뉴를 고르세요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다음으로 인원수를 입력하세요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마지막으로 카드를 넣고 결제하세요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키오스크 사용 방법 안내 그림에서 들려준 내용과 다른 것을 골라보세요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안내③ 지역 행사 알림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이번 주 토요일에 시청 앞에서 어린이 그림 그리기 대회가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오전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시에 시작합니다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지역 행사 알림 포스터에서 들려준 내용과 다른 것을 골라보세요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</si>
  <si>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비가 와요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우산이 필요해요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메뉴를 골라요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토요일이에요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안내 내용에 맞는 그림이나 답을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안내① 지역 일기 예보 </t>
    </r>
    <r>
      <rPr>
        <sz val="9"/>
        <rFont val="맑은 고딕"/>
        <family val="0"/>
        <charset val="1"/>
      </rPr>
      <t xml:space="preserve">1. </t>
    </r>
    <r>
      <rPr>
        <sz val="9"/>
        <rFont val="WenQuanYi Zen Hei"/>
        <family val="2"/>
      </rPr>
      <t xml:space="preserve">맑은 날씨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비 내리는 날씨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눈 내리는 날씨 그림 안내② 키오스크 사용 방법 </t>
    </r>
    <r>
      <rPr>
        <sz val="9"/>
        <rFont val="맑은 고딕"/>
        <family val="0"/>
        <charset val="1"/>
      </rPr>
      <t xml:space="preserve">1. </t>
    </r>
    <r>
      <rPr>
        <sz val="9"/>
        <rFont val="WenQuanYi Zen Hei"/>
        <family val="2"/>
      </rPr>
      <t xml:space="preserve">메뉴를 고르는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카드를 넣고 결제하는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키오스크를 사진 찍는 그림 안내③ 지역 행사 알림 </t>
    </r>
    <r>
      <rPr>
        <sz val="9"/>
        <rFont val="맑은 고딕"/>
        <family val="0"/>
        <charset val="1"/>
      </rPr>
      <t xml:space="preserve">1. </t>
    </r>
    <r>
      <rPr>
        <sz val="9"/>
        <rFont val="WenQuanYi Zen Hei"/>
        <family val="2"/>
      </rPr>
      <t xml:space="preserve">시청 앞에서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시에 만나는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그림 그리기 대회를 하는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시청 앞에 스케이트장이 열린 그림</t>
    </r>
  </si>
  <si>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(3~4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인물과 배경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</si>
  <si>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(3~4</t>
    </r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어제 오후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지우는 학교 도서관에서 친구 민수를 만났어요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지우는 민수에게 같이 과학 숙제를 하자고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두 사람은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시간 동안 열심히 숙제를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누가 나왔나요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어디에서 있었던 일인가요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언제예요</t>
    </r>
    <r>
      <rPr>
        <sz val="9"/>
        <rFont val="맑은 고딕"/>
        <family val="0"/>
        <charset val="1"/>
      </rPr>
      <t xml:space="preserve">?"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</si>
  <si>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지우와 민수가 나왔어요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도서관이요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어제 오후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시예요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등 내용에 맞는 그림이나 답을 고른다</t>
    </r>
    <r>
      <rPr>
        <sz val="9"/>
        <rFont val="맑은 고딕"/>
        <family val="0"/>
        <charset val="1"/>
      </rPr>
      <t xml:space="preserve">. 1. </t>
    </r>
    <r>
      <rPr>
        <sz val="9"/>
        <rFont val="WenQuanYi Zen Hei"/>
        <family val="2"/>
      </rPr>
      <t xml:space="preserve">도서관에서 공부하는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공원에서 노는 장면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식당에서 밥 먹는 장면 </t>
    </r>
    <r>
      <rPr>
        <sz val="9"/>
        <rFont val="맑은 고딕"/>
        <family val="0"/>
        <charset val="1"/>
      </rPr>
      <t xml:space="preserve">4. </t>
    </r>
    <r>
      <rPr>
        <sz val="9"/>
        <rFont val="WenQuanYi Zen Hei"/>
        <family val="2"/>
      </rPr>
      <t xml:space="preserve">교실에서 수업하는 장면 두 학생 장면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오후</t>
    </r>
    <r>
      <rPr>
        <sz val="9"/>
        <rFont val="맑은 고딕"/>
        <family val="0"/>
        <charset val="1"/>
      </rPr>
      <t xml:space="preserve">) (</t>
    </r>
    <r>
      <rPr>
        <sz val="9"/>
        <rFont val="WenQuanYi Zen Hei"/>
        <family val="2"/>
      </rPr>
      <t xml:space="preserve">낮</t>
    </r>
    <r>
      <rPr>
        <sz val="9"/>
        <rFont val="맑은 고딕"/>
        <family val="0"/>
        <charset val="1"/>
      </rPr>
      <t xml:space="preserve">) (</t>
    </r>
    <r>
      <rPr>
        <sz val="9"/>
        <rFont val="WenQuanYi Zen Hei"/>
        <family val="2"/>
      </rPr>
      <t xml:space="preserve">저녁</t>
    </r>
    <r>
      <rPr>
        <sz val="9"/>
        <rFont val="맑은 고딕"/>
        <family val="0"/>
        <charset val="1"/>
      </rPr>
      <t xml:space="preserve">) (</t>
    </r>
    <r>
      <rPr>
        <sz val="9"/>
        <rFont val="WenQuanYi Zen Hei"/>
        <family val="2"/>
      </rPr>
      <t xml:space="preserve">아침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</si>
  <si>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학교에서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일상생활 경험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일어난 주요 사건을 순서대로 나열한다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</si>
  <si>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토요일 아침에 수아는 엄마와 함께 시장에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먼저 채소 가게에서 야채를 샀어요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다음에 생선 가게에서 생선을 샀어요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마지막으로 빵집에서 빵을 사서 집으로 돌아왔어요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이야기를 들으세요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일어난 일의 순서를 그림으로 나열하세요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사건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 오기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국어 수업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점심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미술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흩어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</si>
  <si>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일어난 주요 사건을 순서대로 한 줄로 배열한다</t>
    </r>
    <r>
      <rPr>
        <sz val="9"/>
        <rFont val="맑은 고딕"/>
        <family val="0"/>
        <charset val="1"/>
      </rPr>
      <t xml:space="preserve">. 1. </t>
    </r>
    <r>
      <rPr>
        <sz val="9"/>
        <rFont val="WenQuanYi Zen Hei"/>
        <family val="2"/>
      </rPr>
      <t xml:space="preserve">시장에 도착하는 장면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채소 가게에서 야채를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생선 가게에서 생선을 </t>
    </r>
    <r>
      <rPr>
        <sz val="9"/>
        <rFont val="맑은 고딕"/>
        <family val="0"/>
        <charset val="1"/>
      </rPr>
      <t xml:space="preserve">4. </t>
    </r>
    <r>
      <rPr>
        <sz val="9"/>
        <rFont val="WenQuanYi Zen Hei"/>
        <family val="2"/>
      </rPr>
      <t xml:space="preserve">빵집에서 빵을 사는 사는 장면 사는 장면 장면</t>
    </r>
  </si>
  <si>
    <t xml:space="preserve">L-3-4-3</t>
  </si>
  <si>
    <r>
      <rPr>
        <sz val="9"/>
        <rFont val="WenQuanYi Zen Hei"/>
        <family val="2"/>
      </rPr>
      <t xml:space="preserve">짧은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학교에서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일상생활 경험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내용을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</si>
  <si>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아침에 학교에 갔어요</t>
    </r>
    <r>
      <rPr>
        <sz val="9"/>
        <rFont val="맑은 고딕"/>
        <family val="0"/>
        <charset val="1"/>
      </rPr>
      <t xml:space="preserve">. 1</t>
    </r>
    <r>
      <rPr>
        <sz val="9"/>
        <rFont val="WenQuanYi Zen Hei"/>
        <family val="2"/>
      </rPr>
      <t xml:space="preserve">교시는 국어</t>
    </r>
    <r>
      <rPr>
        <sz val="9"/>
        <rFont val="맑은 고딕"/>
        <family val="0"/>
        <charset val="1"/>
      </rPr>
      <t xml:space="preserve">, 2</t>
    </r>
    <r>
      <rPr>
        <sz val="9"/>
        <rFont val="WenQuanYi Zen Hei"/>
        <family val="2"/>
      </rPr>
      <t xml:space="preserve">교시는 수학을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점심을 먹고 친구와 운동장에서 놀았어요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오후에 미술 시간이 있었어요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시간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아침</t>
    </r>
    <r>
      <rPr>
        <sz val="9"/>
        <rFont val="맑은 고딕"/>
        <family val="0"/>
        <charset val="1"/>
      </rPr>
      <t xml:space="preserve">, 1</t>
    </r>
    <r>
      <rPr>
        <sz val="9"/>
        <rFont val="WenQuanYi Zen Hei"/>
        <family val="2"/>
      </rPr>
      <t xml:space="preserve">교시</t>
    </r>
    <r>
      <rPr>
        <sz val="9"/>
        <rFont val="맑은 고딕"/>
        <family val="0"/>
        <charset val="1"/>
      </rPr>
      <t xml:space="preserve">, 2</t>
    </r>
    <r>
      <rPr>
        <sz val="9"/>
        <rFont val="WenQuanYi Zen Hei"/>
        <family val="2"/>
      </rPr>
      <t xml:space="preserve">교시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점심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오후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활동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 오기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국어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운동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미술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따로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</si>
  <si>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시간과 활동을 알맞게 짝지어 연결한다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아침 — 학교 오기 </t>
    </r>
    <r>
      <rPr>
        <sz val="9"/>
        <rFont val="맑은 고딕"/>
        <family val="0"/>
        <charset val="1"/>
      </rPr>
      <t xml:space="preserve">/ 1</t>
    </r>
    <r>
      <rPr>
        <sz val="9"/>
        <rFont val="WenQuanYi Zen Hei"/>
        <family val="2"/>
      </rPr>
      <t xml:space="preserve">교시 — 국어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점심 — 밥과 운동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왼쪽 카드 </t>
    </r>
    <r>
      <rPr>
        <sz val="9"/>
        <rFont val="맑은 고딕"/>
        <family val="0"/>
        <charset val="1"/>
      </rPr>
      <t xml:space="preserve">1. '</t>
    </r>
    <r>
      <rPr>
        <sz val="9"/>
        <rFont val="WenQuanYi Zen Hei"/>
        <family val="2"/>
      </rPr>
      <t xml:space="preserve">아침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 </t>
    </r>
    <r>
      <rPr>
        <sz val="9"/>
        <rFont val="맑은 고딕"/>
        <family val="0"/>
        <charset val="1"/>
      </rPr>
      <t xml:space="preserve">2. '1</t>
    </r>
    <r>
      <rPr>
        <sz val="9"/>
        <rFont val="WenQuanYi Zen Hei"/>
        <family val="2"/>
      </rPr>
      <t xml:space="preserve">교시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카드 </t>
    </r>
    <r>
      <rPr>
        <sz val="9"/>
        <rFont val="맑은 고딕"/>
        <family val="0"/>
        <charset val="1"/>
      </rPr>
      <t xml:space="preserve">3. '</t>
    </r>
    <r>
      <rPr>
        <sz val="9"/>
        <rFont val="WenQuanYi Zen Hei"/>
        <family val="2"/>
      </rPr>
      <t xml:space="preserve">점심 카드 오른쪽 카드 </t>
    </r>
    <r>
      <rPr>
        <sz val="9"/>
        <rFont val="맑은 고딕"/>
        <family val="0"/>
        <charset val="1"/>
      </rPr>
      <t xml:space="preserve">1. </t>
    </r>
    <r>
      <rPr>
        <sz val="9"/>
        <rFont val="WenQuanYi Zen Hei"/>
        <family val="2"/>
      </rPr>
      <t xml:space="preserve">등교하는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국어 수업을 듣는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운동장에서 뛰어노는 그림</t>
    </r>
  </si>
  <si>
    <t xml:space="preserve">L-3-4-4</t>
  </si>
  <si>
    <r>
      <rPr>
        <sz val="9"/>
        <rFont val="WenQuanYi Zen Hei"/>
        <family val="2"/>
      </rPr>
      <t xml:space="preserve">이야기를 다 듣고 중심이 되는 가장 중요한 문장을 하나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</si>
  <si>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이야기를 들려준 뒤 보기 문장을 보여 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우리는 환경을 보호해야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쓰레기를 줄이고 분리수거를 잘 해야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 물도 아껴 써야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그래야 깨끗한 지구를 지킬 수 있어요</t>
    </r>
    <r>
      <rPr>
        <sz val="9"/>
        <rFont val="맑은 고딕"/>
        <family val="0"/>
        <charset val="1"/>
      </rPr>
      <t xml:space="preserve">." [</t>
    </r>
    <r>
      <rPr>
        <sz val="9"/>
        <rFont val="WenQuanYi Zen Hei"/>
        <family val="2"/>
      </rPr>
      <t xml:space="preserve">보기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문장 카드 ① 우리는 환경을 보호해야 해요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중심</t>
    </r>
    <r>
      <rPr>
        <sz val="9"/>
        <rFont val="맑은 고딕"/>
        <family val="0"/>
        <charset val="1"/>
      </rPr>
      <t xml:space="preserve">) ② </t>
    </r>
    <r>
      <rPr>
        <sz val="9"/>
        <rFont val="WenQuanYi Zen Hei"/>
        <family val="2"/>
      </rPr>
      <t xml:space="preserve">쓰레기를 줄여야 해요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세부</t>
    </r>
    <r>
      <rPr>
        <sz val="9"/>
        <rFont val="맑은 고딕"/>
        <family val="0"/>
        <charset val="1"/>
      </rPr>
      <t xml:space="preserve">) ③ </t>
    </r>
    <r>
      <rPr>
        <sz val="9"/>
        <rFont val="WenQuanYi Zen Hei"/>
        <family val="2"/>
      </rPr>
      <t xml:space="preserve">물을 아껴 써야 해요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세부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</si>
  <si>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중심이 되는 가장 중요한 문장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우리는 환경을 보호해야 해요</t>
    </r>
    <r>
      <rPr>
        <sz val="9"/>
        <rFont val="맑은 고딕"/>
        <family val="0"/>
        <charset val="1"/>
      </rPr>
      <t xml:space="preserve">.")</t>
    </r>
    <r>
      <rPr>
        <sz val="9"/>
        <rFont val="WenQuanYi Zen Hei"/>
        <family val="2"/>
      </rPr>
      <t xml:space="preserve">을 하나 고른다</t>
    </r>
    <r>
      <rPr>
        <sz val="9"/>
        <rFont val="맑은 고딕"/>
        <family val="0"/>
        <charset val="1"/>
      </rPr>
      <t xml:space="preserve">. 1. </t>
    </r>
    <r>
      <rPr>
        <sz val="9"/>
        <rFont val="WenQuanYi Zen Hei"/>
        <family val="2"/>
      </rPr>
      <t xml:space="preserve">우리는 환경을 보호해야 해요</t>
    </r>
    <r>
      <rPr>
        <sz val="9"/>
        <rFont val="맑은 고딕"/>
        <family val="0"/>
        <charset val="1"/>
      </rPr>
      <t xml:space="preserve">. 2. </t>
    </r>
    <r>
      <rPr>
        <sz val="9"/>
        <rFont val="WenQuanYi Zen Hei"/>
        <family val="2"/>
      </rPr>
      <t xml:space="preserve">쓰레기를 줄여야 해요</t>
    </r>
    <r>
      <rPr>
        <sz val="9"/>
        <rFont val="맑은 고딕"/>
        <family val="0"/>
        <charset val="1"/>
      </rPr>
      <t xml:space="preserve">. 3. </t>
    </r>
    <r>
      <rPr>
        <sz val="9"/>
        <rFont val="WenQuanYi Zen Hei"/>
        <family val="2"/>
      </rPr>
      <t xml:space="preserve">물을 아껴 써야 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</si>
  <si>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 관련 설명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물질의 상태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가장 중요한 개념어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액체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</si>
  <si>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 관련 짧은 설명을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물에는 세 가지 상태가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따뜻하게 하면 기체가 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차갑게 하면 고체가 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그냥 두면 액체예요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</si>
  <si>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가장 중요한 개념어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기체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액체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고체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골라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</si>
  <si>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중 시청각 자료를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다루고 있는 핵심 내용을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</si>
  <si>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중 시청각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짧은 영상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영상 내용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곤충은 머리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배 세 부분으로 되어 있고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다리가 여섯 개예요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나비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개미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잠자리가 곤충이에요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자료는 무엇에 대한 거예요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</si>
  <si>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곤충에 대한 거예요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곤충의 몸과 종류에 대한 내용이에요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핵심 내용을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영상 자료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곤충에 관한 안내 영상</t>
    </r>
  </si>
  <si>
    <t xml:space="preserve">L-4-1-3</t>
  </si>
  <si>
    <r>
      <rPr>
        <sz val="9"/>
        <rFont val="WenQuanYi Zen Hei"/>
        <family val="2"/>
      </rPr>
      <t xml:space="preserve">교사의 단원 도입 안내를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이번 시간에 배울 핵심 목표와 관련된 단어를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</si>
  <si>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단원 도입에서 짧은 안내를 한다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"</t>
    </r>
    <r>
      <rPr>
        <sz val="9"/>
        <rFont val="WenQuanYi Zen Hei"/>
        <family val="2"/>
      </rPr>
      <t xml:space="preserve">오늘은 식물의 한살이를 배워요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씨앗에서 시작해서 꽃이 피기까지의 과정을 알아볼 거예요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이어서 보기 단어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식물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한살이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씨앗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동물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기차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</si>
  <si>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이번 시간에 배울 핵심 목표와 관련된 단어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식물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한살이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씨앗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찾아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</si>
  <si>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학교생활에 관한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학교폭력예방수칙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건강 위생관리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안전한 학교생활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언어예절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내용과 세부 내용을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</si>
  <si>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학교생활 안내를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학교폭력 예방 수칙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학교폭력을 예방하기 위해 몇 가지 수칙을 알려드릴게요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첫째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친구에게 상처 주는 말을 하지 마세요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둘째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누군가 괴롭힘을 당하면 선생님께 바로 알리세요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셋째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온라인에서도 친구를 배려하는 말을 사용하세요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안내는 무엇에 대한 이야기예요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누가 괴롭히면 어떻게 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</si>
  <si>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학교폭력 예방에 대한 이야기예요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선생님께 알려요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주요 내용과 세부 내용을 찾아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</si>
  <si>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일상생활에 관한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공공서비스 이용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쓰레기 분리배출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에너지 절약 실천방법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내용과 세부 내용을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</si>
  <si>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일상생활 안내를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쓰레기 분리배출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에너지를 절약하는 방법을 알려드릴게요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사용하지 않는 전자기기의 플러그를 뽑아 두세요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냉방기는 </t>
    </r>
    <r>
      <rPr>
        <sz val="9"/>
        <rFont val="맑은 고딕"/>
        <family val="0"/>
        <charset val="1"/>
      </rPr>
      <t xml:space="preserve">26</t>
    </r>
    <r>
      <rPr>
        <sz val="9"/>
        <rFont val="WenQuanYi Zen Hei"/>
        <family val="2"/>
      </rPr>
      <t xml:space="preserve">도 이상으로 설정하고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자연 바람을 이용하는 것이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엘리베이터 대신 계단을 이용하면 에너지도 절약되고 건강에도 좋아요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이어서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안내는 무엇에 대한 이야기예요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사용하지 않는 전자기기는 어떻게 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</si>
  <si>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에너지를 절약하는 방법이요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플러그를 뽑아 둬요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주요 내용과 세부 내용을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</si>
  <si>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행사 안내 방송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체육대회 일정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행사의 주요 목적과 세부적인 준비물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단체 티셔츠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</si>
  <si>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행사 안내 방송을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체육대회 일정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내일은 우리 학교 체육대회입니다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아침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시에 운동장에 모이세요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단체 티셔츠와 물병을 꼭 가지고 오세요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점심은 학교에서 제공합니다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행사 목적이 뭐예요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무엇을 가지고 와요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</si>
  <si>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체육대회예요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단체 티셔츠와 물병을 가지고 와요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주요 목적과 세부 사항을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</si>
  <si>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발표 내용과 맞는 그림을 모두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</si>
  <si>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발표를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책 소개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제가 좋아하는 책은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어린 왕자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어린 왕자가 다른 별에서 지구로 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여우와 친구가 돼요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따뜻하고 슬픈 이야기예요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이어서 그림 카드 여러 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어린 왕자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지구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바다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</si>
  <si>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발표 내용에 나온 그림을 모두 가리킨다</t>
    </r>
    <r>
      <rPr>
        <sz val="9"/>
        <rFont val="맑은 고딕"/>
        <family val="0"/>
        <charset val="1"/>
      </rPr>
      <t xml:space="preserve">. 1. </t>
    </r>
    <r>
      <rPr>
        <sz val="9"/>
        <rFont val="WenQuanYi Zen Hei"/>
        <family val="2"/>
      </rPr>
      <t xml:space="preserve">어린 왕자 그림 </t>
    </r>
    <r>
      <rPr>
        <sz val="9"/>
        <rFont val="맑은 고딕"/>
        <family val="0"/>
        <charset val="1"/>
      </rPr>
      <t xml:space="preserve">2. </t>
    </r>
    <r>
      <rPr>
        <sz val="9"/>
        <rFont val="WenQuanYi Zen Hei"/>
        <family val="2"/>
      </rPr>
      <t xml:space="preserve">여우 그림 </t>
    </r>
    <r>
      <rPr>
        <sz val="9"/>
        <rFont val="맑은 고딕"/>
        <family val="0"/>
        <charset val="1"/>
      </rPr>
      <t xml:space="preserve">3. </t>
    </r>
    <r>
      <rPr>
        <sz val="9"/>
        <rFont val="WenQuanYi Zen Hei"/>
        <family val="2"/>
      </rPr>
      <t xml:space="preserve">별 그림 </t>
    </r>
    <r>
      <rPr>
        <sz val="9"/>
        <rFont val="맑은 고딕"/>
        <family val="0"/>
        <charset val="1"/>
      </rPr>
      <t xml:space="preserve">4. </t>
    </r>
    <r>
      <rPr>
        <sz val="9"/>
        <rFont val="WenQuanYi Zen Hei"/>
        <family val="2"/>
      </rPr>
      <t xml:space="preserve">지구 그림 </t>
    </r>
    <r>
      <rPr>
        <sz val="9"/>
        <rFont val="맑은 고딕"/>
        <family val="0"/>
        <charset val="1"/>
      </rPr>
      <t xml:space="preserve">5. </t>
    </r>
    <r>
      <rPr>
        <sz val="9"/>
        <rFont val="WenQuanYi Zen Hei"/>
        <family val="2"/>
      </rPr>
      <t xml:space="preserve">바다 그림</t>
    </r>
  </si>
  <si>
    <r>
      <rPr>
        <sz val="9"/>
        <rFont val="WenQuanYi Zen Hei"/>
        <family val="2"/>
      </rPr>
      <t xml:space="preserve">이야기나 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위인 소개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들은 내용에 대한 사실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무엇에 관한 이야기인가요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</si>
  <si>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발표를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위인 소개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위인 이순신에 대해 발표하겠습니다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이순신은 조선 시대 장군이에요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임진왜란 때 우리나라를 지키기 위해 싸웠어요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거북선을 만들어 왜군을 물리쳤어요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이순신은 언제 활동한 사람인가요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이순신이 만든 배의 이름은 무엇인가요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이순신이 싸운 전쟁의 이름은 무엇인가요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</si>
  <si>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조선 시대요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거북선이요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임진왜란이요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사실 질문에 짧게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</si>
  <si>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점심시간에 휴대폰을 사용하는 것에 대한 발표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찬성 혹은 반대 의견을 정확히 구별한다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</si>
  <si>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발표를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점심시간에 휴대폰 사용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점심시간에 휴대폰 사용을 허용해야 한다고 생각해요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점심시간은 쉬는 시간이기 때문에 학생들이 원하는 활동을 할 수 있어야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 가족에게 연락이 필요한 경우도 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 사람은 휴대폰 사용에 찬성이에요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반대예요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</si>
  <si>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찬성이에요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정확히 구별해 답한다</t>
    </r>
    <r>
      <rPr>
        <sz val="9"/>
        <rFont val="맑은 고딕"/>
        <family val="0"/>
        <charset val="1"/>
      </rPr>
      <t xml:space="preserve">.</t>
    </r>
  </si>
  <si>
    <t xml:space="preserve">L-4-3-4</t>
  </si>
  <si>
    <r>
      <rPr>
        <sz val="9"/>
        <rFont val="WenQuanYi Zen Hei"/>
        <family val="2"/>
      </rPr>
      <t xml:space="preserve">발표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점심시간에 휴대폰을 사용하는 것에 대한 발표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발표자가 제시한 근거를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</si>
  <si>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발표를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점심시간에 휴대폰 사용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점심시간에 휴대폰 사용을 허용해야 한다고 생각해요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점심시간은 쉬는 시간이기 때문에 학생들이 원하는 활동을 할 수 있어야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 가족에게 연락이 필요한 경우도 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 사람이 든 근거가 뭐예요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</si>
  <si>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가족에게 연락이 필요할 수 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발표자가 제시한 근거를 찾아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</si>
  <si>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두 사람 간의 갈등이 포함된 긴 대화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청소 구역을 정하며 의견이 충돌하는 상황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대화가 벌어지는 맥락과 각자의 입장을 파악한다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</si>
  <si>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두 사람의 갈등이 들어 있는 짧은 대화를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청소 구역 정하기 민수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지우야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 교실 청소 구역 다시 정해야 할 것 같아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나는 지금 구역이 괜찮은데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왜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민수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나는 매번 복도 청소인데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너는 항상 교실 안쪽이잖아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불공평해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나도 힘든데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교실 안은 쓰레기가 많아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민수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그래도 돌아가면서 하는 게 맞지 않아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지우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음</t>
    </r>
    <r>
      <rPr>
        <sz val="9"/>
        <rFont val="맑은 고딕"/>
        <family val="0"/>
        <charset val="1"/>
      </rPr>
      <t xml:space="preserve">... </t>
    </r>
    <r>
      <rPr>
        <sz val="9"/>
        <rFont val="WenQuanYi Zen Hei"/>
        <family val="2"/>
      </rPr>
      <t xml:space="preserve">그럼 다음 달부터 바꿔볼까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민수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좋아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그렇게 하자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무엇 때문에 이야기하고 있나요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</si>
  <si>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청소 구역을 바꾸는 것 때문에요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갈등 내용을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</si>
  <si>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다소 긴 대화나 이야기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약속을 정하는 대화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듣고 그 상황이나 목적을 답한다</t>
    </r>
    <r>
      <rPr>
        <sz val="9"/>
        <rFont val="맑은 고딕"/>
        <family val="0"/>
        <charset val="1"/>
      </rPr>
      <t xml:space="preserve">. -</t>
    </r>
    <r>
      <rPr>
        <sz val="9"/>
        <rFont val="WenQuanYi Zen Hei"/>
        <family val="2"/>
      </rPr>
      <t xml:space="preserve">예시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목적 등이 드러나는 대화</t>
    </r>
  </si>
  <si>
    <r>
      <rPr>
        <sz val="9"/>
        <rFont val="WenQuanYi Zen Hei"/>
        <family val="2"/>
      </rPr>
      <t xml:space="preserve">다소 긴 대화를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체험학습 계획하기 지훈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다음 주 금요일에 현장체험학습 가는 거 알고 있어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서연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응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선생님이 아침 </t>
    </r>
    <r>
      <rPr>
        <sz val="9"/>
        <rFont val="맑은 고딕"/>
        <family val="0"/>
        <charset val="1"/>
      </rPr>
      <t xml:space="preserve">8</t>
    </r>
    <r>
      <rPr>
        <sz val="9"/>
        <rFont val="WenQuanYi Zen Hei"/>
        <family val="2"/>
      </rPr>
      <t xml:space="preserve">시까지 학교에 오라고 하셨어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우리는 먼저 박물관에 간다던데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서연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맞아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박물관에서 옛날 생활 모습을 관람한대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점심은 어디서 먹어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서연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공원에서 도시락 먹는다고 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재밌겠다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준비물은 뭐야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서연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필기도구랑 물을 꼭 가져오래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알겠어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도시락도 미리 준비해야겠다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“</t>
    </r>
    <r>
      <rPr>
        <sz val="9"/>
        <rFont val="WenQuanYi Zen Hei"/>
        <family val="2"/>
      </rPr>
      <t xml:space="preserve">두 사람은 왜 이야기를 나누고 있나요</t>
    </r>
    <r>
      <rPr>
        <sz val="9"/>
        <rFont val="맑은 고딕"/>
        <family val="0"/>
        <charset val="1"/>
      </rPr>
      <t xml:space="preserve">?”, “</t>
    </r>
    <r>
      <rPr>
        <sz val="9"/>
        <rFont val="WenQuanYi Zen Hei"/>
        <family val="2"/>
      </rPr>
      <t xml:space="preserve">학생들은 어디에 가기로 했나요</t>
    </r>
    <r>
      <rPr>
        <sz val="9"/>
        <rFont val="맑은 고딕"/>
        <family val="0"/>
        <charset val="1"/>
      </rPr>
      <t xml:space="preserve">?” “</t>
    </r>
    <r>
      <rPr>
        <sz val="9"/>
        <rFont val="WenQuanYi Zen Hei"/>
        <family val="2"/>
      </rPr>
      <t xml:space="preserve">무엇을 준비해야 하나요</t>
    </r>
    <r>
      <rPr>
        <sz val="9"/>
        <rFont val="맑은 고딕"/>
        <family val="0"/>
        <charset val="1"/>
      </rPr>
      <t xml:space="preserve">?”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</si>
  <si>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“현장체험학습 준비에 대해 이야기하고 있어요</t>
    </r>
    <r>
      <rPr>
        <sz val="9"/>
        <rFont val="맑은 고딕"/>
        <family val="0"/>
        <charset val="1"/>
      </rPr>
      <t xml:space="preserve">.”, “</t>
    </r>
    <r>
      <rPr>
        <sz val="9"/>
        <rFont val="WenQuanYi Zen Hei"/>
        <family val="2"/>
      </rPr>
      <t xml:space="preserve">박물관에 가기로 했어요</t>
    </r>
    <r>
      <rPr>
        <sz val="9"/>
        <rFont val="맑은 고딕"/>
        <family val="0"/>
        <charset val="1"/>
      </rPr>
      <t xml:space="preserve">.” “</t>
    </r>
    <r>
      <rPr>
        <sz val="9"/>
        <rFont val="WenQuanYi Zen Hei"/>
        <family val="2"/>
      </rPr>
      <t xml:space="preserve">필기도구와 물을 준비해야 해요</t>
    </r>
    <r>
      <rPr>
        <sz val="9"/>
        <rFont val="맑은 고딕"/>
        <family val="0"/>
        <charset val="1"/>
      </rPr>
      <t xml:space="preserve">.” </t>
    </r>
    <r>
      <rPr>
        <sz val="9"/>
        <rFont val="WenQuanYi Zen Hei"/>
        <family val="2"/>
      </rPr>
      <t xml:space="preserve">대화의 상황과 목적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파악하여 답한다</t>
    </r>
    <r>
      <rPr>
        <sz val="9"/>
        <rFont val="맑은 고딕"/>
        <family val="0"/>
        <charset val="1"/>
      </rPr>
      <t xml:space="preserve">.</t>
    </r>
  </si>
  <si>
    <t xml:space="preserve">L-4-4-3</t>
  </si>
  <si>
    <r>
      <rPr>
        <sz val="9"/>
        <rFont val="WenQuanYi Zen Hei"/>
        <family val="2"/>
      </rPr>
      <t xml:space="preserve">대화를 듣고 화자가 상대방에게 부탁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거절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제안 중 어떤 목적을 가졌는지 파악한다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</si>
  <si>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대화를 들려준다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듣기 대본</t>
    </r>
    <r>
      <rPr>
        <sz val="9"/>
        <rFont val="맑은 고딕"/>
        <family val="0"/>
        <charset val="1"/>
      </rPr>
      <t xml:space="preserve">] ① A: "</t>
    </r>
    <r>
      <rPr>
        <sz val="9"/>
        <rFont val="WenQuanYi Zen Hei"/>
        <family val="2"/>
      </rPr>
      <t xml:space="preserve">내일 체육 시간에 줄넘기 좀 빌려줄 수 있어</t>
    </r>
    <r>
      <rPr>
        <sz val="9"/>
        <rFont val="맑은 고딕"/>
        <family val="0"/>
        <charset val="1"/>
      </rPr>
      <t xml:space="preserve">?" B: "</t>
    </r>
    <r>
      <rPr>
        <sz val="9"/>
        <rFont val="WenQuanYi Zen Hei"/>
        <family val="2"/>
      </rPr>
      <t xml:space="preserve">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그렇게 해</t>
    </r>
    <r>
      <rPr>
        <sz val="9"/>
        <rFont val="맑은 고딕"/>
        <family val="0"/>
        <charset val="1"/>
      </rPr>
      <t xml:space="preserve">." ② A: "</t>
    </r>
    <r>
      <rPr>
        <sz val="9"/>
        <rFont val="WenQuanYi Zen Hei"/>
        <family val="2"/>
      </rPr>
      <t xml:space="preserve">오늘 점심 같이 먹지 않을래</t>
    </r>
    <r>
      <rPr>
        <sz val="9"/>
        <rFont val="맑은 고딕"/>
        <family val="0"/>
        <charset val="1"/>
      </rPr>
      <t xml:space="preserve">?" B: "</t>
    </r>
    <r>
      <rPr>
        <sz val="9"/>
        <rFont val="WenQuanYi Zen Hei"/>
        <family val="2"/>
      </rPr>
      <t xml:space="preserve">미안해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 오늘 다른 약속이 있어</t>
    </r>
    <r>
      <rPr>
        <sz val="9"/>
        <rFont val="맑은 고딕"/>
        <family val="0"/>
        <charset val="1"/>
      </rPr>
      <t xml:space="preserve">." ③ A: "</t>
    </r>
    <r>
      <rPr>
        <sz val="9"/>
        <rFont val="WenQuanYi Zen Hei"/>
        <family val="2"/>
      </rPr>
      <t xml:space="preserve">오늘 도서관에서 같이 공부하는 게 어때</t>
    </r>
    <r>
      <rPr>
        <sz val="9"/>
        <rFont val="맑은 고딕"/>
        <family val="0"/>
        <charset val="1"/>
      </rPr>
      <t xml:space="preserve">?" B: "</t>
    </r>
    <r>
      <rPr>
        <sz val="9"/>
        <rFont val="WenQuanYi Zen Hei"/>
        <family val="2"/>
      </rPr>
      <t xml:space="preserve">좋아</t>
    </r>
    <r>
      <rPr>
        <sz val="9"/>
        <rFont val="맑은 고딕"/>
        <family val="0"/>
        <charset val="1"/>
      </rPr>
      <t xml:space="preserve">!"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각 대화의 목적을 부탁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거절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제안 중에 골라보세요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</si>
  <si>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부탁</t>
    </r>
    <r>
      <rPr>
        <sz val="9"/>
        <rFont val="맑은 고딕"/>
        <family val="0"/>
        <charset val="1"/>
      </rPr>
      <t xml:space="preserve">, ② </t>
    </r>
    <r>
      <rPr>
        <sz val="9"/>
        <rFont val="WenQuanYi Zen Hei"/>
        <family val="2"/>
      </rPr>
      <t xml:space="preserve">거절</t>
    </r>
    <r>
      <rPr>
        <sz val="9"/>
        <rFont val="맑은 고딕"/>
        <family val="0"/>
        <charset val="1"/>
      </rPr>
      <t xml:space="preserve">, ③ </t>
    </r>
    <r>
      <rPr>
        <sz val="9"/>
        <rFont val="WenQuanYi Zen Hei"/>
        <family val="2"/>
      </rPr>
      <t xml:space="preserve">제안이라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</si>
  <si>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교실 창밖의 풍경이나 날씨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구름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가리키며 해당되는 단어를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</si>
  <si>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창밖을 보며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지금 밖에 뭐가 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</si>
  <si>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구름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해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풍경이나 날씨를 한 단어로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해 구름 눈 비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</si>
  <si>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교실 사물을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이게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</si>
  <si>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동물 그림 카드를 보여 주며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이건 무슨 동물이에요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</si>
  <si>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코끼리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하마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기린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동물 이름을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코끼리 하마 기린</t>
    </r>
  </si>
  <si>
    <t xml:space="preserve">S-1-1-4</t>
  </si>
  <si>
    <r>
      <rPr>
        <sz val="9"/>
        <rFont val="WenQuanYi Zen Hei"/>
        <family val="2"/>
      </rPr>
      <t xml:space="preserve">제시된 색깔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빨강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파랑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</si>
  <si>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색깔 카드를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이건 무슨 색이에요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</si>
  <si>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빨강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파랑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노랑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색깔 이름을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파랑 초록 주황 빨강 보라 노랑 검정</t>
    </r>
  </si>
  <si>
    <r>
      <rPr>
        <sz val="9"/>
        <rFont val="WenQuanYi Zen Hei"/>
        <family val="2"/>
      </rPr>
      <t xml:space="preserve">만나거나 헤어질 때 상황에 맞는 인사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 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</si>
  <si>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만나거나 헤어지는 상황 그림을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 상황에 맞는 인삿말은 무엇이에요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</si>
  <si>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!", 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잘 가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상황에 맞는 인사를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</si>
  <si>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도움을 받았을 때 상황에 맞는 감사인사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고맙습니다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고마워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</si>
  <si>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도움을 받은 상황 그림을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 상황에 맞는 감사 인사는 무엇이에요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</si>
  <si>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어른에게는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고맙습니다</t>
    </r>
    <r>
      <rPr>
        <sz val="9"/>
        <rFont val="맑은 고딕"/>
        <family val="0"/>
        <charset val="1"/>
      </rPr>
      <t xml:space="preserve">.", </t>
    </r>
    <r>
      <rPr>
        <sz val="9"/>
        <rFont val="WenQuanYi Zen Hei"/>
        <family val="2"/>
      </rPr>
      <t xml:space="preserve">친구에게는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고마워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상황에 맞는 감사 인사를 한다</t>
    </r>
    <r>
      <rPr>
        <sz val="9"/>
        <rFont val="맑은 고딕"/>
        <family val="0"/>
        <charset val="1"/>
      </rPr>
      <t xml:space="preserve">.</t>
    </r>
  </si>
  <si>
    <t xml:space="preserve">S-1-2-3</t>
  </si>
  <si>
    <r>
      <rPr>
        <sz val="9"/>
        <rFont val="WenQuanYi Zen Hei"/>
        <family val="2"/>
      </rPr>
      <t xml:space="preserve">실수했을 때 상황에 맞는 사과인사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미안합니다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</si>
  <si>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실수하는 상황 그림을 카리키며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 상황에서는 무슨 말을 해야 돼요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</si>
  <si>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어른에게는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미안합니다</t>
    </r>
    <r>
      <rPr>
        <sz val="9"/>
        <rFont val="맑은 고딕"/>
        <family val="0"/>
        <charset val="1"/>
      </rPr>
      <t xml:space="preserve">.", </t>
    </r>
    <r>
      <rPr>
        <sz val="9"/>
        <rFont val="WenQuanYi Zen Hei"/>
        <family val="2"/>
      </rPr>
      <t xml:space="preserve">친구에게는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미안해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상황에 맞는 사과 인사를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</si>
  <si>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개인의 선호를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무슨 색깔 좋아해요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자신이 좋아하는 대상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파란색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단어로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</si>
  <si>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무슨 색깔 좋아해요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선호를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</si>
  <si>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파란색이요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초록색을 좋아해요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좋아하는 대상을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</si>
  <si>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소유를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지우개 누구 거예요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대상의 주인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민수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</si>
  <si>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물건을 들고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지우개 누구 거예요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</si>
  <si>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민수 거예요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물건 주인을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</si>
  <si>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장소나 위치를 묻는 단순한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화장실 어디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방향이나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저기요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밖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나타내는 단어로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</si>
  <si>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화장실 어디 있어요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위치를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</si>
  <si>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저기요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복도 끝에요</t>
    </r>
    <r>
      <rPr>
        <sz val="9"/>
        <rFont val="맑은 고딕"/>
        <family val="0"/>
        <charset val="1"/>
      </rPr>
      <t xml:space="preserve">.", "1</t>
    </r>
    <r>
      <rPr>
        <sz val="9"/>
        <rFont val="WenQuanYi Zen Hei"/>
        <family val="2"/>
      </rPr>
      <t xml:space="preserve">층에 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방향이나 장소를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</si>
  <si>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신체적 불편함이나 통증이 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부위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머리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말하며 교사에게 도움을 청한다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</si>
  <si>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아픈 학생 그림을 가리키며</t>
    </r>
    <r>
      <rPr>
        <sz val="9"/>
        <rFont val="맑은 고딕"/>
        <family val="0"/>
        <charset val="1"/>
      </rPr>
      <t xml:space="preserve">)"</t>
    </r>
    <r>
      <rPr>
        <sz val="9"/>
        <rFont val="WenQuanYi Zen Hei"/>
        <family val="2"/>
      </rPr>
      <t xml:space="preserve">이런 상황에는 뭐라고 말해요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</si>
  <si>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머리 아파요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배 아파요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아픈 부위를 말하며 교사에게 도움을 요청한다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</si>
  <si>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활동 중 특정 도구가 필요할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물건의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말하여 요구한다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</si>
  <si>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도구가 필요한 상황 그림을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이런 상황에는 뭐라고 말해요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</si>
  <si>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가위 주세요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풀 좀 주세요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필요한 물건의 이름을 말하며 요청한다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</si>
  <si>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덥거나 추울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상태를 나타내는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덥다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춥다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말하여 환경 변화를 요청한다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</si>
  <si>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환경 상황 그림을 가리키며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그림 속 상황이 어때 보여요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</si>
  <si>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더워요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추워요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창문을 닫아야 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상태를 말하며 교사에게 환경 변화를 요청한다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창문이 열려 추운 바람이 들어오는 상황 창문이 열려 더운 열기가 들어오는 상황</t>
    </r>
  </si>
  <si>
    <r>
      <rPr>
        <sz val="9"/>
        <rFont val="WenQuanYi Zen Hei"/>
        <family val="2"/>
      </rPr>
      <t xml:space="preserve">학생이 어려운 낱말을 말해야 하는 상황을 만든다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</si>
  <si>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발음이 서툴러도 한 음절씩 천천히 또박또박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한∙국∙어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환∙경∙ 보∙호</t>
    </r>
    <r>
      <rPr>
        <sz val="9"/>
        <rFont val="맑은 고딕"/>
        <family val="0"/>
        <charset val="1"/>
      </rPr>
      <t xml:space="preserve">"</t>
    </r>
  </si>
  <si>
    <r>
      <rPr>
        <sz val="9"/>
        <rFont val="맑은 고딕"/>
        <family val="0"/>
        <charset val="1"/>
      </rPr>
      <t xml:space="preserve">( '</t>
    </r>
    <r>
      <rPr>
        <sz val="9"/>
        <rFont val="WenQuanYi Zen Hei"/>
        <family val="2"/>
      </rPr>
      <t xml:space="preserve">분리수거를 해요</t>
    </r>
    <r>
      <rPr>
        <sz val="9"/>
        <rFont val="맑은 고딕"/>
        <family val="0"/>
        <charset val="1"/>
      </rPr>
      <t xml:space="preserve">.' </t>
    </r>
    <r>
      <rPr>
        <sz val="9"/>
        <rFont val="WenQuanYi Zen Hei"/>
        <family val="2"/>
      </rPr>
      <t xml:space="preserve">문장을 보여주며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말해보세요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</si>
  <si>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처음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분리수거를 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다시 한번 말해 줄래요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학생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분∙리∙수∙거∙를 해∙요</t>
    </r>
    <r>
      <rPr>
        <sz val="9"/>
        <rFont val="맑은 고딕"/>
        <family val="0"/>
        <charset val="1"/>
      </rPr>
      <t xml:space="preserve">." (</t>
    </r>
    <r>
      <rPr>
        <sz val="9"/>
        <rFont val="WenQuanYi Zen Hei"/>
        <family val="2"/>
      </rPr>
      <t xml:space="preserve">같은 말을 더 천천히 한 음절씩 다시 말한다</t>
    </r>
    <r>
      <rPr>
        <sz val="9"/>
        <rFont val="맑은 고딕"/>
        <family val="0"/>
        <charset val="1"/>
      </rPr>
      <t xml:space="preserve">.)</t>
    </r>
  </si>
  <si>
    <r>
      <rPr>
        <sz val="9"/>
        <rFont val="WenQuanYi Zen Hei"/>
        <family val="2"/>
      </rPr>
      <t xml:space="preserve">허락을 구하는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화장실에 다녀와도 돼요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</si>
  <si>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중 허락을 구하는 상황의 그림 카드 하나를 보여준다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화장실에 다녀와도 되는지 허락을 구하는 장면 ② 물 마시고 와도 되는지 허락을 구하는 장면 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상황에서 선생님께 어떻게 말할까요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허락을 구해보세요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</si>
  <si>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화장실에 다녀와도 돼요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물 마시고 와도 돼요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허락을 구하는 문장을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화장실에 다녀와도 되는지 허락을 구하는 장면 물 마시고 와도 되는지 허락을 구하는 장면</t>
    </r>
  </si>
  <si>
    <r>
      <rPr>
        <sz val="9"/>
        <rFont val="WenQuanYi Zen Hei"/>
        <family val="2"/>
      </rPr>
      <t xml:space="preserve">부탁하는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지우개 좀 빌려줄래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</si>
  <si>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중 부탁하는 상황의 그림 카드 하나를 보여준다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지우개를 빌리는 장면 ② 문을 여는 것을 부탁하는 장면 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상황에서 친구에게 어떻게 말할까요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</si>
  <si>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지우개 좀 빌려줄래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문 좀 열어줄 수 있니</t>
    </r>
    <r>
      <rPr>
        <sz val="9"/>
        <rFont val="맑은 고딕"/>
        <family val="0"/>
        <charset val="1"/>
      </rPr>
      <t xml:space="preserve">?."</t>
    </r>
    <r>
      <rPr>
        <sz val="9"/>
        <rFont val="WenQuanYi Zen Hei"/>
        <family val="2"/>
      </rPr>
      <t xml:space="preserve">처럼 부탁하는 문장을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문을 여는 것을 부탁하는 장면 지우개를 빌리는 장면</t>
    </r>
  </si>
  <si>
    <r>
      <rPr>
        <sz val="9"/>
        <rFont val="WenQuanYi Zen Hei"/>
        <family val="2"/>
      </rPr>
      <t xml:space="preserve">친구에게 제안하는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같이 밥 먹자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</si>
  <si>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중 제안하는 상황의 그림 카드 하나를 보여준다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점심을 혼자 먹으려는 친구에게 같이 먹자고 제안하는 장면 ② 쉬는 시간에 혼자 있는 친구에게 같이 공놀이하자고 제안하는 장면 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상황에서 친구에게 어떻게 말할까요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</si>
  <si>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같이 밥 먹자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같이 공놀이하자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친구에게 제안하는 문장을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점심을 혼자 먹으려는 친구에게 같이 먹자고 쉬는 시간에 혼자 있는 친구에게 같이 제안하는 장면 공놀이하자고 제안하는 장면</t>
    </r>
  </si>
  <si>
    <t xml:space="preserve">S-2-1-4</t>
  </si>
  <si>
    <r>
      <rPr>
        <sz val="9"/>
        <rFont val="WenQuanYi Zen Hei"/>
        <family val="2"/>
      </rPr>
      <t xml:space="preserve">교사에게 도움을 요청하는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모르겠어요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</si>
  <si>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중 도움이 필요한 상황의 그림 카드 하나를 보여준다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어려운 문제를 풀지 못해 난감해하는 장면 ② 과제 방법을 몰라 멈춰 있는 장면 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상황에서 선생님께 어떻게 말할까요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</si>
  <si>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모르겠어요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도와주세요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이 문제 어떻게 풀어요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교사에게 도움을 요청하는 문장을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어려운 문제를 풀지 못해 난감해하는 장면 과제 방법을 몰라 멈춰 있는 장면</t>
    </r>
  </si>
  <si>
    <r>
      <rPr>
        <sz val="9"/>
        <rFont val="WenQuanYi Zen Hei"/>
        <family val="2"/>
      </rPr>
      <t xml:space="preserve">주말이나 방과 후의 일상을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 집에서 뭐 했어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자신의 행동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집에서 게임했어요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</si>
  <si>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어제 집에서 뭐 했어요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주말에 뭐 했어요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</si>
  <si>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집에서 게임했어요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친구와 영화를 봤어요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행동을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</si>
  <si>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가족 관계나 배경을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형제자매가 어떻게 돼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가족 구성원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동생이 한 명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설명한다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</si>
  <si>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형제자매가 어떻게 돼요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가족이 몇 명이에요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</si>
  <si>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동생이 한 명 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오빠와 언니가 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가족 구성원을 문장으로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</si>
  <si>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좋아하는 과목을 묻는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어떤 과목이 제일 재미있어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이유를 포함하여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체육이 제일 재미있어요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</si>
  <si>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어떤 과목이 제일 재미있어요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가장 좋아하는 과목이 뭐예요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</si>
  <si>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체육이 제일 재미있어요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친구들과 같이 운동할 수 있어서요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미술이 좋아요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그림 그리기를 좋아하기 때문이에요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좋아하는 과목과 이유를 포함하여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</si>
  <si>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과제나 학습 내용의 기한을 확인하기 위해 교사에게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숙제 언제까지 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</si>
  <si>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숙제를 받았지만 기한을 모르는 상황의 그림 카드를 보여준다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상황에서 선생님께 어떻게 말할까요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</si>
  <si>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숙제 언제까지 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이거 언제까지예요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교사에게 기한을 묻는 질문을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</si>
  <si>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친구에게 학교 시설물의 위치나 이용 시간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 문 언제 열어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묻고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</si>
  <si>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시설물 위치나 이용 시간을 모르는 장면의 그림 카드를 보여준다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도서관 앞에서 운영 시간을 궁금해하는 장면 ② 처음 가는 보건실 위치를 몰라 두리번거리는 장면 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상황에서 친구에게 어떻게 말할까요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</si>
  <si>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도서관 문 언제 열어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보건실이 어디야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친구에게 시설물 위치나 이용 시간을 묻고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도서관 앞에서 운영 시간을 궁금해하는 장면 처음 가는 보건실 위치를 몰라 두리번거리는 장면</t>
    </r>
  </si>
  <si>
    <r>
      <rPr>
        <sz val="9"/>
        <rFont val="WenQuanYi Zen Hei"/>
        <family val="2"/>
      </rPr>
      <t xml:space="preserve">다음 시간의 교과목이나 이동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다음 시간 어디로 가요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주변 친구들에게 물어본다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</si>
  <si>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시간 교과목이나 이동 장소를 모르는 장면의 그림 카드를 보여준다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시간표를 확인하지 못해 다음 수업 장소를 몰라 두리번거리는 장면 ② 다음 시간 교과목을 몰라 친구에게 묻는 장면 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상황에서 친구에게 어떻게 말할까요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</si>
  <si>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다음 시간 어디로 가요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다음 시간 무슨 수업이에요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친구에게 교과목이나 이동 장소를 묻는다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시간표를 확인하지 못해 다음 수업 장소를 몰라 다음 시간 교과목을 몰라 친구에게 묻는 장면 두리번거리는 장면</t>
    </r>
  </si>
  <si>
    <r>
      <rPr>
        <sz val="9"/>
        <rFont val="WenQuanYi Zen Hei"/>
        <family val="2"/>
      </rPr>
      <t xml:space="preserve">자신의 선호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축구를 좋아합니다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</si>
  <si>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무엇을 좋아해요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좋아하는 것이 뭐예요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</si>
  <si>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나는 축구를 좋아합니다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저는 음악을 좋아해요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선호를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</si>
  <si>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자신의 감각이나 느낌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음식은 매워요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표현한다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</si>
  <si>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음식 그림 카드를 보여주며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음식 어때요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떡볶이처럼 매운 음식 그림 ② 케이크나 사탕처럼 단 음식 그림 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음식 먹어본 적 있어요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어때요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</si>
  <si>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음식은 매워요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이 빵은 달아요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감각이나 느낌을 문장으로 표현한다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</si>
  <si>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자신의 신체적 상태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머리가 아파요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힘들어요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</si>
  <si>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신체적 불편함을 나타내는 그림 카드를 보여주며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지금 몸이 어때요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머리를 감싸 쥐고 아파하는 그림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두통</t>
    </r>
    <r>
      <rPr>
        <sz val="9"/>
        <rFont val="맑은 고딕"/>
        <family val="0"/>
        <charset val="1"/>
      </rPr>
      <t xml:space="preserve">) ② </t>
    </r>
    <r>
      <rPr>
        <sz val="9"/>
        <rFont val="WenQuanYi Zen Hei"/>
        <family val="2"/>
      </rPr>
      <t xml:space="preserve">배를 감싸 쥐고 아파하는 그림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복통</t>
    </r>
    <r>
      <rPr>
        <sz val="9"/>
        <rFont val="맑은 고딕"/>
        <family val="0"/>
        <charset val="1"/>
      </rPr>
      <t xml:space="preserve">) ③ </t>
    </r>
    <r>
      <rPr>
        <sz val="9"/>
        <rFont val="WenQuanYi Zen Hei"/>
        <family val="2"/>
      </rPr>
      <t xml:space="preserve">지친 표정으로 힘들어하는 그림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피로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친구는 지금 어떤 것 같아요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</si>
  <si>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나는 머리가 아파요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배가 아파요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오늘 좀 힘들어요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신체적 상태를 문장으로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머리를 감싸 쥐고 배를 감싸 쥐고 아파하는 지친 표정으로 아파하는 그림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두통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그림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복통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힘들어하는 그림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피로</t>
    </r>
    <r>
      <rPr>
        <sz val="9"/>
        <rFont val="맑은 고딕"/>
        <family val="0"/>
        <charset val="1"/>
      </rPr>
      <t xml:space="preserve">)</t>
    </r>
  </si>
  <si>
    <t xml:space="preserve">S-2-4-4</t>
  </si>
  <si>
    <r>
      <rPr>
        <sz val="9"/>
        <rFont val="WenQuanYi Zen Hei"/>
        <family val="2"/>
      </rPr>
      <t xml:space="preserve">자신의 희망이나 욕구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저거 하고 싶어요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기다려 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문장으로 표현한다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</si>
  <si>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 중 상황 그림 카드 하나를 보여준다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수영하는 그림 →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수영하고 싶어요</t>
    </r>
    <r>
      <rPr>
        <sz val="9"/>
        <rFont val="맑은 고딕"/>
        <family val="0"/>
        <charset val="1"/>
      </rPr>
      <t xml:space="preserve">." ② </t>
    </r>
    <r>
      <rPr>
        <sz val="9"/>
        <rFont val="WenQuanYi Zen Hei"/>
        <family val="2"/>
      </rPr>
      <t xml:space="preserve">미술하는 그림 →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미술하고 싶어요</t>
    </r>
    <r>
      <rPr>
        <sz val="9"/>
        <rFont val="맑은 고딕"/>
        <family val="0"/>
        <charset val="1"/>
      </rPr>
      <t xml:space="preserve">." ③ </t>
    </r>
    <r>
      <rPr>
        <sz val="9"/>
        <rFont val="WenQuanYi Zen Hei"/>
        <family val="2"/>
      </rPr>
      <t xml:space="preserve">요리하는 그림 →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요리하고 싶어요</t>
    </r>
    <r>
      <rPr>
        <sz val="9"/>
        <rFont val="맑은 고딕"/>
        <family val="0"/>
        <charset val="1"/>
      </rPr>
      <t xml:space="preserve">." ④ </t>
    </r>
    <r>
      <rPr>
        <sz val="9"/>
        <rFont val="WenQuanYi Zen Hei"/>
        <family val="2"/>
      </rPr>
      <t xml:space="preserve">선생님이 빨리 가려는 상황에서 학생이 멈춰달라는 그림 →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잠깐만 기다려 주세요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상황에서 어떻게 말할까요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</si>
  <si>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수영하고 싶어요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잠깐만 기다려 주세요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희망이나 욕구를 문장으로 표현한다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수영하는 그림 미술하는 그림 요리하는 그림 선생님이 빨리 가려는 상황에서 학생이 멈춰달라는 그림</t>
    </r>
  </si>
  <si>
    <t xml:space="preserve">S-2-4-5</t>
  </si>
  <si>
    <r>
      <rPr>
        <sz val="9"/>
        <rFont val="WenQuanYi Zen Hei"/>
        <family val="2"/>
      </rPr>
      <t xml:space="preserve">자신의 생각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가방이 멋져요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</si>
  <si>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그림카드를 보여주며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이거 어때요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멋진 가방 그림 ② 귀여운 동물 그림 ③ 화려한 색깔의 꽃 그림 ④ 재미있는 모양의 장난감 그림 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이것을 보고 어떤 생각이 드나요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</si>
  <si>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가방이 멋져요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이 강아지가 귀여워요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이 꽃이 예뻐요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이 장난감이 재미있어요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생각을 문장으로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멋진 가방 그림 귀여운 동물 그림 화려한 색깔의 꽃 그림 재미있는 모양의 장난감 그림</t>
    </r>
  </si>
  <si>
    <r>
      <rPr>
        <sz val="9"/>
        <rFont val="WenQuanYi Zen Hei"/>
        <family val="2"/>
      </rPr>
      <t xml:space="preserve">발음이 다소 부정확해도 문장의 전체 의미를 전달한다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</si>
  <si>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학생에게 짧은 발표나 대화를 시켜 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</si>
  <si>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한국에 온 지 일 년이 됐어요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처음에는 한국어가 어려웠지만 지금은 친구와 잘 이야기할 수 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처럼 말하며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발음이 다소 부정확해도 듣는 사람이 내용을 알아들을 수 있게 문장 전체 의미를 분명히 전달한다</t>
    </r>
    <r>
      <rPr>
        <sz val="9"/>
        <rFont val="맑은 고딕"/>
        <family val="0"/>
        <charset val="1"/>
      </rPr>
      <t xml:space="preserve">. ※ </t>
    </r>
    <r>
      <rPr>
        <sz val="9"/>
        <rFont val="WenQuanYi Zen Hei"/>
        <family val="2"/>
      </rPr>
      <t xml:space="preserve">교사와의 짧은 대화 상황에서 발음이 부정확해도 전체 문장의 의미가 전달되는지 교사가 직접 관찰</t>
    </r>
  </si>
  <si>
    <r>
      <rPr>
        <sz val="9"/>
        <rFont val="WenQuanYi Zen Hei"/>
        <family val="2"/>
      </rPr>
      <t xml:space="preserve">핵심 어휘의 발음을 이해할 수 있도록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</si>
  <si>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새로 배운 핵심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분리수거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현장체험학습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가 들어간 문장을 말하게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</si>
  <si>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오늘 우리는 분리수거에 대해 배웠어요</t>
    </r>
    <r>
      <rPr>
        <sz val="9"/>
        <rFont val="맑은 고딕"/>
        <family val="0"/>
        <charset val="1"/>
      </rPr>
      <t xml:space="preserve">." (</t>
    </r>
    <r>
      <rPr>
        <sz val="9"/>
        <rFont val="WenQuanYi Zen Hei"/>
        <family val="2"/>
      </rPr>
      <t xml:space="preserve">분리수거 부분을 분명하게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핵심 어휘의 발음을 듣는 사람이 이해할 수 있도록 또렷하게 말한다</t>
    </r>
    <r>
      <rPr>
        <sz val="9"/>
        <rFont val="맑은 고딕"/>
        <family val="0"/>
        <charset val="1"/>
      </rPr>
      <t xml:space="preserve">. ※ </t>
    </r>
    <r>
      <rPr>
        <sz val="9"/>
        <rFont val="WenQuanYi Zen Hei"/>
        <family val="2"/>
      </rPr>
      <t xml:space="preserve">교사와의 짧은 대화 상황에서 발음이 부정확해도 전체 문장의 의미가 전달되는지 교사가 직접 관찰</t>
    </r>
  </si>
  <si>
    <t xml:space="preserve">S-2-5-3</t>
  </si>
  <si>
    <r>
      <rPr>
        <sz val="9"/>
        <rFont val="WenQuanYi Zen Hei"/>
        <family val="2"/>
      </rPr>
      <t xml:space="preserve">너무 빠르지 않은 일정한 속도로 문장을 발화할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</si>
  <si>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학생이 발표를 시작하게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</si>
  <si>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살짝 쉬고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학년 박지은입니다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살짝 쉬고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오늘은 우리 마을에 대해 발표하겠습니다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처럼 말하며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너무 빠르거나 느리지 않게 일정한 속도로 발화한다</t>
    </r>
    <r>
      <rPr>
        <sz val="9"/>
        <rFont val="맑은 고딕"/>
        <family val="0"/>
        <charset val="1"/>
      </rPr>
      <t xml:space="preserve">. ※ </t>
    </r>
    <r>
      <rPr>
        <sz val="9"/>
        <rFont val="WenQuanYi Zen Hei"/>
        <family val="2"/>
      </rPr>
      <t xml:space="preserve">교사와의 짧은 대화 상황에서 발음이 부정확해도 전체 문장의 의미가 전달되는지 교사가 직접 관찰</t>
    </r>
  </si>
  <si>
    <r>
      <rPr>
        <sz val="9"/>
        <rFont val="WenQuanYi Zen Hei"/>
        <family val="2"/>
      </rPr>
      <t xml:space="preserve">자신의 취미나 관심사</t>
    </r>
    <r>
      <rPr>
        <sz val="9"/>
        <rFont val="맑은 고딕"/>
        <family val="0"/>
        <charset val="1"/>
      </rPr>
      <t xml:space="preserve">(K-pop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그 활동을 왜 좋아하는지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문장으로 설명한다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</si>
  <si>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취미가 뭐예요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왜 좋아해요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</si>
  <si>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K-pop </t>
    </r>
    <r>
      <rPr>
        <sz val="9"/>
        <rFont val="WenQuanYi Zen Hei"/>
        <family val="2"/>
      </rPr>
      <t xml:space="preserve">댄스를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친구들과 같이 출 수 있어서 좋아요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저는 그림 그리기를 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차분해지기 때문이에요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취미와 그 이유를 한두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</si>
  <si>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자신이 자주 가는 동네의 장소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떡볶이집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문구점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농구장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소개하며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그곳의 특징을 이야기한다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</si>
  <si>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자주 가는 동네 장소가 어디예요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</si>
  <si>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학교 근처 떡볶이집에 자주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떡볶이가 맵지만 맛있어요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공원에 자주 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자전거를 탈 수 있어서 좋아요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장소와 그곳의 특징을 이야기한다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</si>
  <si>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친한 친구를 다른 사람에게 소개할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친구의 특징이나 장점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 친구는 착하고 달리기를 잘해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포함하여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</si>
  <si>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친한 친구를 소개해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</si>
  <si>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제 친한 친구는 민수예요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착하고 달리기를 잘해요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항상 친구를 도와줘요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친구의 특징이나 장점을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</si>
  <si>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현장체험학습이나 여행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동물원 견학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가장 인상 깊었던 장면을 설명한다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</si>
  <si>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현장체험학습에서 가장 기억에 남는 일이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</si>
  <si>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동물원 견학에서 코끼리를 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코끼리가 정말 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코로 물을 마시는 모습이 신기했어요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인상 깊었던 장면을 설명한다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</si>
  <si>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실수나 실패했던 경험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물건을 잃어버린 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이야기하며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실수나 실패하지 않기 위한 다짐을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</si>
  <si>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실수했던 경험을 이야기해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</si>
  <si>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지난주에 가방을 학교에 두고 집에 갔어요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 날 책이 없어서 곤란했어요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앞으로는 집에 갈 때 물건을 꼭 확인하겠어요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경험과 다짐을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</si>
  <si>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체육대회나 학예회 등 학교 행사에서 자신이 맡았던 역할과 그때 느낀 감정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떨림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뿌듯함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</si>
  <si>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체육대회나 학예회에서 어떤 역할을 맡았어요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그때 기분이 어땠어요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</si>
  <si>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저는 학예회에서 노래를 불렀어요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무대에 올라가니 떨렸어요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친구들이 박수를 쳐 줘서 뿌듯했어요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역할과 감정을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</si>
  <si>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교사의 열린 질문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우리가 환경을 보호하지 않으면 어떻게 될까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자신의 생각을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</si>
  <si>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우리가 환경을 보호하지 않으면 어떻게 될까요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지구가 더 더워지면 어떤 일이 생길까요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열린 질문을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</si>
  <si>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공기가 나빠져서 숨 쉬기 힘들어질 거예요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동물들이 살 곳을 잃을 거예요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자신의 생각을 문장으로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</si>
  <si>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 중 설명이 부족하거나 이해가 가지 않는 부분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수학 문제의 풀이 과정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어려운 낱말이 포함된 안내문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질문한다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</si>
  <si>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학년 수준보다 약간 어려운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'</t>
    </r>
    <r>
      <rPr>
        <sz val="9"/>
        <rFont val="WenQuanYi Zen Hei"/>
        <family val="2"/>
      </rPr>
      <t xml:space="preserve">폐장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관람객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체류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동승</t>
    </r>
    <r>
      <rPr>
        <sz val="9"/>
        <rFont val="맑은 고딕"/>
        <family val="0"/>
        <charset val="1"/>
      </rPr>
      <t xml:space="preserve">'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</t>
    </r>
    <r>
      <rPr>
        <sz val="9"/>
        <rFont val="맑은 고딕"/>
        <family val="0"/>
        <charset val="1"/>
      </rPr>
      <t xml:space="preserve">1~2</t>
    </r>
    <r>
      <rPr>
        <sz val="9"/>
        <rFont val="WenQuanYi Zen Hei"/>
        <family val="2"/>
      </rPr>
      <t xml:space="preserve">개 들어 있는 짧은 안내문을 보여 주며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글을 읽고 잘 모르는 낱말이나 표현이 있으면 선생님께 물어보세요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자연사 박물관 관람 안내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관람 시간 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오전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~ </t>
    </r>
    <r>
      <rPr>
        <sz val="9"/>
        <rFont val="WenQuanYi Zen Hei"/>
        <family val="2"/>
      </rPr>
      <t xml:space="preserve">오후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시 폐장 시간은 오후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30</t>
    </r>
    <r>
      <rPr>
        <sz val="9"/>
        <rFont val="WenQuanYi Zen Hei"/>
        <family val="2"/>
      </rPr>
      <t xml:space="preserve">분이며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 이후에는 입장이 제한됩니다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단체 관람객은 미리 예약해 주세요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전시실에서는 사진 촬영을 삼가 주시기 바랍니다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</si>
  <si>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선생님</t>
    </r>
    <r>
      <rPr>
        <sz val="9"/>
        <rFont val="맑은 고딕"/>
        <family val="0"/>
        <charset val="1"/>
      </rPr>
      <t xml:space="preserve">, '</t>
    </r>
    <r>
      <rPr>
        <sz val="9"/>
        <rFont val="WenQuanYi Zen Hei"/>
        <family val="2"/>
      </rPr>
      <t xml:space="preserve">폐장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이 무슨 뜻이에요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여기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관람객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은 누구를 가리켜요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글에서 모르는 낱말을 구체적으로 짚어 묻는다</t>
    </r>
    <r>
      <rPr>
        <sz val="9"/>
        <rFont val="맑은 고딕"/>
        <family val="0"/>
        <charset val="1"/>
      </rPr>
      <t xml:space="preserve">.</t>
    </r>
  </si>
  <si>
    <t xml:space="preserve">S-3-3-3</t>
  </si>
  <si>
    <r>
      <rPr>
        <sz val="9"/>
        <rFont val="WenQuanYi Zen Hei"/>
        <family val="2"/>
      </rPr>
      <t xml:space="preserve">짝</t>
    </r>
    <r>
      <rPr>
        <sz val="9"/>
        <rFont val="맑은 고딕"/>
        <family val="0"/>
        <charset val="1"/>
      </rPr>
      <t xml:space="preserve">,</t>
    </r>
    <r>
      <rPr>
        <sz val="9"/>
        <rFont val="WenQuanYi Zen Hei"/>
        <family val="2"/>
      </rPr>
      <t xml:space="preserve">모둠 활동 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학습 문제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모둠별 조사하기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실험 활동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해결하기 위해 서로 알고 있는 내용을 묻거나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</si>
  <si>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한 공지사항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결석한 친구에게 정확히 전해준다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</si>
  <si>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준비물은 색종이와 가위예요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오늘 결석한 친구에게 전해줄 수 있어요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결석한 친구 역할을 하며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나 오늘 왜 결석했는지 알아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</si>
  <si>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준비물은 색종이와 가위야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꼭 가지고 와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공지사항을 정확히 전달한다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</si>
  <si>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다른 반 친구에게 들은 소식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옆 반에 다른 친구가 전학을 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같은 반 친구에게 왜곡 없이</t>
    </r>
    <r>
      <rPr>
        <sz val="9"/>
        <rFont val="맑은 고딕"/>
        <family val="0"/>
        <charset val="1"/>
      </rPr>
      <t xml:space="preserve">(~</t>
    </r>
    <r>
      <rPr>
        <sz val="9"/>
        <rFont val="WenQuanYi Zen Hei"/>
        <family val="2"/>
      </rPr>
      <t xml:space="preserve">왔다고 했어</t>
    </r>
    <r>
      <rPr>
        <sz val="9"/>
        <rFont val="맑은 고딕"/>
        <family val="0"/>
        <charset val="1"/>
      </rPr>
      <t xml:space="preserve">.) </t>
    </r>
    <r>
      <rPr>
        <sz val="9"/>
        <rFont val="WenQuanYi Zen Hei"/>
        <family val="2"/>
      </rPr>
      <t xml:space="preserve">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</si>
  <si>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옆 반 친구 역할을 하며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옆 반에 새 친구가 전학을 왔어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방금 들은 소식을 같은 반 친구에게 전해볼까요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</si>
  <si>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옆 반에 새 친구가 전학을 왔다고 했어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들은 소식을 왜곡 없이 전달한다</t>
    </r>
    <r>
      <rPr>
        <sz val="9"/>
        <rFont val="맑은 고딕"/>
        <family val="0"/>
        <charset val="1"/>
      </rPr>
      <t xml:space="preserve">.</t>
    </r>
  </si>
  <si>
    <t xml:space="preserve">S-3-4-3</t>
  </si>
  <si>
    <r>
      <rPr>
        <sz val="9"/>
        <rFont val="WenQuanYi Zen Hei"/>
        <family val="2"/>
      </rPr>
      <t xml:space="preserve">학교 방송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방송 조회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 안내 방송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들은 핵심 내용 하나를 반 친구들에게 다시 말해준다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</si>
  <si>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방송 녹음이나 교사 음성으로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8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30</t>
    </r>
    <r>
      <rPr>
        <sz val="9"/>
        <rFont val="WenQuanYi Zen Hei"/>
        <family val="2"/>
      </rPr>
      <t xml:space="preserve">분까지 강당으로 모이세요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를 들려준다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방금 들은 방송 내용을 친구들에게 전해볼까요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</si>
  <si>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8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30</t>
    </r>
    <r>
      <rPr>
        <sz val="9"/>
        <rFont val="WenQuanYi Zen Hei"/>
        <family val="2"/>
      </rPr>
      <t xml:space="preserve">분까지 강당으로 모이래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핵심 내용을 친구들에게 다시 말해준다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</si>
  <si>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겹받침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맑다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읽다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밝다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넓다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이나 연음 법칙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놀이터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책꽂이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적용되는 단어를 비교적 정확하게 발음한다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</si>
  <si>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겹받침이나 연음 법칙이 적용되는 단어 카드를 보여주며 읽어보게 한다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겹받침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맑다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막따</t>
    </r>
    <r>
      <rPr>
        <sz val="9"/>
        <rFont val="맑은 고딕"/>
        <family val="0"/>
        <charset val="1"/>
      </rPr>
      <t xml:space="preserve">], </t>
    </r>
    <r>
      <rPr>
        <sz val="9"/>
        <rFont val="WenQuanYi Zen Hei"/>
        <family val="2"/>
      </rPr>
      <t xml:space="preserve">흙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흑</t>
    </r>
    <r>
      <rPr>
        <sz val="9"/>
        <rFont val="맑은 고딕"/>
        <family val="0"/>
        <charset val="1"/>
      </rPr>
      <t xml:space="preserve">], </t>
    </r>
    <r>
      <rPr>
        <sz val="9"/>
        <rFont val="WenQuanYi Zen Hei"/>
        <family val="2"/>
      </rPr>
      <t xml:space="preserve">읽다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익따</t>
    </r>
    <r>
      <rPr>
        <sz val="9"/>
        <rFont val="맑은 고딕"/>
        <family val="0"/>
        <charset val="1"/>
      </rPr>
      <t xml:space="preserve">], </t>
    </r>
    <r>
      <rPr>
        <sz val="9"/>
        <rFont val="WenQuanYi Zen Hei"/>
        <family val="2"/>
      </rPr>
      <t xml:space="preserve">밝다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박따</t>
    </r>
    <r>
      <rPr>
        <sz val="9"/>
        <rFont val="맑은 고딕"/>
        <family val="0"/>
        <charset val="1"/>
      </rPr>
      <t xml:space="preserve">], </t>
    </r>
    <r>
      <rPr>
        <sz val="9"/>
        <rFont val="WenQuanYi Zen Hei"/>
        <family val="2"/>
      </rPr>
      <t xml:space="preserve">넓다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널따</t>
    </r>
    <r>
      <rPr>
        <sz val="9"/>
        <rFont val="맑은 고딕"/>
        <family val="0"/>
        <charset val="1"/>
      </rPr>
      <t xml:space="preserve">] ② </t>
    </r>
    <r>
      <rPr>
        <sz val="9"/>
        <rFont val="WenQuanYi Zen Hei"/>
        <family val="2"/>
      </rPr>
      <t xml:space="preserve">연음 법칙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놀이터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노리터</t>
    </r>
    <r>
      <rPr>
        <sz val="9"/>
        <rFont val="맑은 고딕"/>
        <family val="0"/>
        <charset val="1"/>
      </rPr>
      <t xml:space="preserve">], 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줄럼끼</t>
    </r>
    <r>
      <rPr>
        <sz val="9"/>
        <rFont val="맑은 고딕"/>
        <family val="0"/>
        <charset val="1"/>
      </rPr>
      <t xml:space="preserve">], </t>
    </r>
    <r>
      <rPr>
        <sz val="9"/>
        <rFont val="WenQuanYi Zen Hei"/>
        <family val="2"/>
      </rPr>
      <t xml:space="preserve">책꽂이</t>
    </r>
    <r>
      <rPr>
        <sz val="9"/>
        <rFont val="맑은 고딕"/>
        <family val="0"/>
        <charset val="1"/>
      </rPr>
      <t xml:space="preserve">[</t>
    </r>
    <r>
      <rPr>
        <sz val="9"/>
        <rFont val="WenQuanYi Zen Hei"/>
        <family val="2"/>
      </rPr>
      <t xml:space="preserve">책꼬지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이 단어를 읽어볼까요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</si>
  <si>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맑다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흙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읽다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놀이터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줄넘기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책꽂이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겹받침이나 연음 법칙이 적용되는 단어를 비교적 정확하게 발음한다</t>
    </r>
    <r>
      <rPr>
        <sz val="9"/>
        <rFont val="맑은 고딕"/>
        <family val="0"/>
        <charset val="1"/>
      </rPr>
      <t xml:space="preserve">. ※ </t>
    </r>
    <r>
      <rPr>
        <sz val="9"/>
        <rFont val="WenQuanYi Zen Hei"/>
        <family val="2"/>
      </rPr>
      <t xml:space="preserve">완벽한 발음이 아니더라도 듣는 사람이 의미를 알아들을 수 있을 정도의 발음이면 충족으로 교사가 관찰한다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단어 카드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겹받침 단어 카드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연음 법칙</t>
    </r>
  </si>
  <si>
    <r>
      <rPr>
        <sz val="9"/>
        <rFont val="WenQuanYi Zen Hei"/>
        <family val="2"/>
      </rPr>
      <t xml:space="preserve">목소리 크기를 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둘이 말할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여러 사람 앞에서 말할 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조절하여 또렷하게 발음한다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</si>
  <si>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상황 그림 카드를 순서대로 보여주며 각각 말해보게 한다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둘이 조용히 대화하는 장면 →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뭐 해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작은 목소리로 말하게 한다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여러 사람 앞에서 발표하는 장면 →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내일 소풍을 갑니다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라고 큰 목소리로 말하게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두 상황에서 학생의 목소리 크기가 달라지는지 비교하여 관찰한다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</si>
  <si>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둘이 말할 때는 작고 부드러운 목소리로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여러 사람 앞에서는 또렷하고 크게 목소리 크기를 조절하여 말한다</t>
    </r>
    <r>
      <rPr>
        <sz val="9"/>
        <rFont val="맑은 고딕"/>
        <family val="0"/>
        <charset val="1"/>
      </rPr>
      <t xml:space="preserve">. ※ </t>
    </r>
    <r>
      <rPr>
        <sz val="9"/>
        <rFont val="WenQuanYi Zen Hei"/>
        <family val="2"/>
      </rPr>
      <t xml:space="preserve">완벽한 발음이 아니더라도 듣는 사람이 의미를 알아들을 수 있을 정도의 발음이면 충족으로 교사가 관찰한다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둘이 조용히 대화하는 장면 여러 사람 앞에서 발표하는 장면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작은 목소리</t>
    </r>
    <r>
      <rPr>
        <sz val="9"/>
        <rFont val="맑은 고딕"/>
        <family val="0"/>
        <charset val="1"/>
      </rPr>
      <t xml:space="preserve">) (</t>
    </r>
    <r>
      <rPr>
        <sz val="9"/>
        <rFont val="WenQuanYi Zen Hei"/>
        <family val="2"/>
      </rPr>
      <t xml:space="preserve">큰 목소리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</si>
  <si>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문학 작품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소설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감상한 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작품 속 인물의 행동에 대한 자신의 가치 판단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주인공의 행동은 옳지 않다고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왜냐하면</t>
    </r>
    <r>
      <rPr>
        <sz val="9"/>
        <rFont val="맑은 고딕"/>
        <family val="0"/>
        <charset val="1"/>
      </rPr>
      <t xml:space="preserve">...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</si>
  <si>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문학 작품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소설이나 시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함께 읽은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인물의 행동에 대해 어떻게 생각해요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</si>
  <si>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주인공의 행동은 옳지 않다고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왜냐하면 친구에게 거짓말을 했기 때문입니다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주인공이 정말 용감했다고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어려운 상황에서도 포기하지 않았기 때문입니다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인물의 행동에 대한 자신의 가치 판단을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</si>
  <si>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시사 문제나 뉴스 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기후 위기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속 문제의 원인과 해결책에 대한 자신의 생각을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</si>
  <si>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시사 뉴스나 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기후 위기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문제의 원인이 뭐라고 생각해요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어떻게 해결할 수 있을까요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</si>
  <si>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기후 위기의 원인은 사람들이 환경을 보호하지 않은 것이라고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해결책은 분리수거를 잘 하고 에너지를 아끼는 것입니다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문제의 원인과 해결책에 대한 자신의 생각을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</si>
  <si>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한 페이지 분량의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안내장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신청서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가장 중요한 핵심 내용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가지를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</si>
  <si>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한 페이지 분량의 안내장을 보여 준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가장 중요한 내용이 뭐예요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현장체험학습 안내장</t>
    </r>
    <r>
      <rPr>
        <sz val="9"/>
        <rFont val="맑은 고딕"/>
        <family val="0"/>
        <charset val="1"/>
      </rPr>
      <t xml:space="preserve">] 10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15</t>
    </r>
    <r>
      <rPr>
        <sz val="9"/>
        <rFont val="WenQuanYi Zen Hei"/>
        <family val="2"/>
      </rPr>
      <t xml:space="preserve">일 화요일에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학년 전체가 박물관에 갑니다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아침 </t>
    </r>
    <r>
      <rPr>
        <sz val="9"/>
        <rFont val="맑은 고딕"/>
        <family val="0"/>
        <charset val="1"/>
      </rPr>
      <t xml:space="preserve">8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30</t>
    </r>
    <r>
      <rPr>
        <sz val="9"/>
        <rFont val="WenQuanYi Zen Hei"/>
        <family val="2"/>
      </rPr>
      <t xml:space="preserve">분까지 학교 운동장에 모이세요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점심으로 도시락과 물병을 가지고 와야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참가비는 </t>
    </r>
    <r>
      <rPr>
        <sz val="9"/>
        <rFont val="맑은 고딕"/>
        <family val="0"/>
        <charset val="1"/>
      </rPr>
      <t xml:space="preserve">5,000</t>
    </r>
    <r>
      <rPr>
        <sz val="9"/>
        <rFont val="WenQuanYi Zen Hei"/>
        <family val="2"/>
      </rPr>
      <t xml:space="preserve">원입니다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신청서는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일까지 제출해 주세요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</si>
  <si>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"10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15</t>
    </r>
    <r>
      <rPr>
        <sz val="9"/>
        <rFont val="WenQuanYi Zen Hei"/>
        <family val="2"/>
      </rPr>
      <t xml:space="preserve">일에 박물관에 가요</t>
    </r>
    <r>
      <rPr>
        <sz val="9"/>
        <rFont val="맑은 고딕"/>
        <family val="0"/>
        <charset val="1"/>
      </rPr>
      <t xml:space="preserve">.", "8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30</t>
    </r>
    <r>
      <rPr>
        <sz val="9"/>
        <rFont val="WenQuanYi Zen Hei"/>
        <family val="2"/>
      </rPr>
      <t xml:space="preserve">분까지 운동장에 모여요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도시락과 물병을 가지고 가요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가장 중요한 핵심 내용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가지를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</si>
  <si>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교육용 영상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화재 대피 요령 영상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본 후 전체적인 줄거리를 친구에게 설명한다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</si>
  <si>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안전 교육 영상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화재 대피 요령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함께 본 뒤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영상에서 어떤 내용이 나왔어요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</si>
  <si>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영상에서는 불이 나면 먼저 큰 소리로 불이야 라고 외쳐야 한다고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연기가 날 때는 몸을 낮추고 이동해야 한대요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엘리베이터 대신 계단으로 대피해야 한다고 했어요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전체 줄거리를 설명한다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영상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화재 대피 요령 영상 </t>
    </r>
    <r>
      <rPr>
        <sz val="9"/>
        <rFont val="맑은 고딕"/>
        <family val="0"/>
        <charset val="1"/>
      </rPr>
      <t xml:space="preserve">https://youtu.be/W6Zr5yo5gls?si=xUdJO7zjc2KDFLP-</t>
    </r>
  </si>
  <si>
    <r>
      <rPr>
        <sz val="9"/>
        <rFont val="WenQuanYi Zen Hei"/>
        <family val="2"/>
      </rPr>
      <t xml:space="preserve">수업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실험 방법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생태 전환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사회 현상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세계 문화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관련된 주제에 대해 자신의 말로 표현한다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</si>
  <si>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수업에서 배운 내용 중 하나의 주제를 제시한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배운 내용을 자신의 말로 설명해볼까요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</si>
  <si>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배운 내용을 자신의 말로 설명한다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예시① 실험 방법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먼저 비커에 물을 넣어요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그리고 소금을 넣고 잘 저어요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마지막으로 물의 색깔이 어떻게 변했는지 살펴봐요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예시② 세계 문화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베트남에서는 쌀국수를 많이 먹어요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길거리에서도 팔아요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따뜻하고 맛있어서 아침 식사로도 좋아요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</si>
  <si>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교사에게 진로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중학교 진학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나 학업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성적 고민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한국어 공부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조언을 구하며 질문과 대답을 주고받는 긴 대화를 이어나갈 수 있다</t>
    </r>
  </si>
  <si>
    <r>
      <rPr>
        <sz val="9"/>
        <rFont val="WenQuanYi Zen Hei"/>
        <family val="2"/>
      </rPr>
      <t xml:space="preserve">학생에게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중학교 진학이나 공부에 대해 궁금한 점이 있어요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말을 건넨다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</si>
  <si>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선생님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저는 중학교에 가서 어떤 공부를 더 해야 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한국어 듣기와 말하기를 꾸준히 연습하면 도움이 될 거예요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책도 많이 읽으세요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학생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그럼 한국어 책을 어떻게 골라야 해요</t>
    </r>
    <r>
      <rPr>
        <sz val="9"/>
        <rFont val="맑은 고딕"/>
        <family val="0"/>
        <charset val="1"/>
      </rPr>
      <t xml:space="preserve">?“ </t>
    </r>
    <r>
      <rPr>
        <sz val="9"/>
        <rFont val="WenQuanYi Zen Hei"/>
        <family val="2"/>
      </rPr>
      <t xml:space="preserve">처럼 진로나 학업에 대한 질문과 대답을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회 이상 주고받으며 대화를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</si>
  <si>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물건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핸드폰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잃어버렸을 때 분실물 센터나 교무실에 가서 잃어버린 상황을 설명하며 대화한다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</si>
  <si>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물건을 잃어버린 상황을 가정한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분실물 센터에 가서 설명해볼까요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분실물 센터 직원 역할을 하며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어떻게 오셨어요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</si>
  <si>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제 가방을 잃어버렸어요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빨간색 가방이고 안에 책 두 권과 필통이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점심시간에 운동장에서 잃어버린 것 같아요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혹시 들어온 게 있나요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잃어버린 상황을 구체적으로 설명하며 대화를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</si>
  <si>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갈등 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친구가 나를 밀었을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물을 엎질렀을 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해결하기 위해 자신의 감정과 이유를 설명하며 대화한다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</si>
  <si>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친구가 내 공책에 물을 엎지른 상황을 설명한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이 상황에서 친구에게 어떻게 말할까요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묻는다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갈등을 빚는 친구 역할을 하며 대화를 이어간다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</si>
  <si>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내 공책이 젖어서 속상해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오늘 숙제한 내용이 적혀 있었거든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친구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): "</t>
    </r>
    <r>
      <rPr>
        <sz val="9"/>
        <rFont val="WenQuanYi Zen Hei"/>
        <family val="2"/>
      </rPr>
      <t xml:space="preserve">미안해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내가 물병을 제대로 닫지 않아서 물이 쏟아졌어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학생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다음부터는 물병을 책상 안쪽에 놓아 줬으면 좋겠어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친구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): "</t>
    </r>
    <r>
      <rPr>
        <sz val="9"/>
        <rFont val="WenQuanYi Zen Hei"/>
        <family val="2"/>
      </rPr>
      <t xml:space="preserve">알겠어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그리고 젖은 부분은 내가 같이 말려 줄게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학생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좋아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다음부터 조심해 줘</t>
    </r>
    <r>
      <rPr>
        <sz val="9"/>
        <rFont val="맑은 고딕"/>
        <family val="0"/>
        <charset val="1"/>
      </rPr>
      <t xml:space="preserve">.“ </t>
    </r>
    <r>
      <rPr>
        <sz val="9"/>
        <rFont val="WenQuanYi Zen Hei"/>
        <family val="2"/>
      </rPr>
      <t xml:space="preserve">처럼 자신의 감정과 이유를 설명하며 갈등을 해결하는 대화를 이어 간다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</si>
  <si>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교사나 웃어른에게 말할 때와 친구에게 말할 때의 높임법을 정확히 구분하여 사용한다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</si>
  <si>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교사나 어른과 대화하는 상황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친구와 대화하는 상황을 각각 만든다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</si>
  <si>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어른에게는 높임말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선생님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도와 주세요</t>
    </r>
    <r>
      <rPr>
        <sz val="9"/>
        <rFont val="맑은 고딕"/>
        <family val="0"/>
        <charset val="1"/>
      </rPr>
      <t xml:space="preserve">."), </t>
    </r>
    <r>
      <rPr>
        <sz val="9"/>
        <rFont val="WenQuanYi Zen Hei"/>
        <family val="2"/>
      </rPr>
      <t xml:space="preserve">친구에게는 평어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! </t>
    </r>
    <r>
      <rPr>
        <sz val="9"/>
        <rFont val="WenQuanYi Zen Hei"/>
        <family val="2"/>
      </rPr>
      <t xml:space="preserve">같이 가자</t>
    </r>
    <r>
      <rPr>
        <sz val="9"/>
        <rFont val="맑은 고딕"/>
        <family val="0"/>
        <charset val="1"/>
      </rPr>
      <t xml:space="preserve">.")</t>
    </r>
    <r>
      <rPr>
        <sz val="9"/>
        <rFont val="WenQuanYi Zen Hei"/>
        <family val="2"/>
      </rPr>
      <t xml:space="preserve">로 정확히 구분해 사용한다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</si>
  <si>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공식적인 자리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학급 회의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비공식적인 자리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친구와의 대화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상황에 따른 언어예절을 지켜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</si>
  <si>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공식적인 자리와 비공식적인 자리 상황 그림 카드를 순서대로 보여주며 각각 말해보게 한다</t>
    </r>
    <r>
      <rPr>
        <sz val="9"/>
        <rFont val="맑은 고딕"/>
        <family val="0"/>
        <charset val="1"/>
      </rPr>
      <t xml:space="preserve">. ① </t>
    </r>
    <r>
      <rPr>
        <sz val="9"/>
        <rFont val="WenQuanYi Zen Hei"/>
        <family val="2"/>
      </rPr>
      <t xml:space="preserve">학급 회의 장면 →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지금 회의 중이에요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청소 구역에 대해 의견을 말해볼까요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쉬는 시간에 친구와 대화하는 장면 →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친구가 청소 구역에 대해 어떻게 생각하는지 물어보고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친구에게 말해볼까요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</si>
  <si>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① 공식적인 자리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저는 청소 구역을 바꾸는 것이 좋다고 생각합니다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왜냐하면 모두가 골고루 할 수 있기 때문입니다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정중하게 말한다</t>
    </r>
    <r>
      <rPr>
        <sz val="9"/>
        <rFont val="맑은 고딕"/>
        <family val="0"/>
        <charset val="1"/>
      </rPr>
      <t xml:space="preserve">. ② </t>
    </r>
    <r>
      <rPr>
        <sz val="9"/>
        <rFont val="WenQuanYi Zen Hei"/>
        <family val="2"/>
      </rPr>
      <t xml:space="preserve">비공식적인 자리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나는 청소 구역 바꾸는 게 좋을 것 같아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편하게 말한다</t>
    </r>
    <r>
      <rPr>
        <sz val="9"/>
        <rFont val="맑은 고딕"/>
        <family val="0"/>
        <charset val="1"/>
      </rPr>
      <t xml:space="preserve">. ※ </t>
    </r>
    <r>
      <rPr>
        <sz val="9"/>
        <rFont val="WenQuanYi Zen Hei"/>
        <family val="2"/>
      </rPr>
      <t xml:space="preserve">두 상황을 비교하여 공식적인 자리와 비공식적인 자리에서 말하는 방식이 달라지는지 관찰한다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학급 회의 장면 쉬는 시간에 친구와 대화하는 장면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칠판 앞에서 발표하는 학생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자리에 앉아 듣는 친구들</t>
    </r>
    <r>
      <rPr>
        <sz val="9"/>
        <rFont val="맑은 고딕"/>
        <family val="0"/>
        <charset val="1"/>
      </rPr>
      <t xml:space="preserve">) (</t>
    </r>
    <r>
      <rPr>
        <sz val="9"/>
        <rFont val="WenQuanYi Zen Hei"/>
        <family val="2"/>
      </rPr>
      <t xml:space="preserve">교실 한쪽에서 친구와 편하게 이야기하는 모습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</si>
  <si>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대화의 흐름이 끊기지 않도록 맞장구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호응어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적절히 사용하며 자연스럽게 대화에 참여한다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</si>
  <si>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학생에게 일상적인 이야기를 들려주며 자연스럽게 대화를 이어가도록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나 어제 학교 오는 길에 강아지를 봤는데 너무 귀여웠어요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그런데 갑자기 강아지가 내 가방을 물려고 해서 깜짝 놀랐지 뭐예요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그래도 주인분이 바로 데려가셔서 다행이었어요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</si>
  <si>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그래요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정말요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어머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깜짝 놀랐겠다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다행이다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이야기의 흐름에 맞게 맞장구를 적절히 사용하며 대화에 자연스럽게 참여한다</t>
    </r>
    <r>
      <rPr>
        <sz val="9"/>
        <rFont val="맑은 고딕"/>
        <family val="0"/>
        <charset val="1"/>
      </rPr>
      <t xml:space="preserve">. ※ </t>
    </r>
    <r>
      <rPr>
        <sz val="9"/>
        <rFont val="WenQuanYi Zen Hei"/>
        <family val="2"/>
      </rPr>
      <t xml:space="preserve">맞장구의 종류나 정확성보다 대화의 흐름이 자연스럽게 이어지는지를 관찰한다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</si>
  <si>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생활 속에서 자주 보는 친숙한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</si>
  <si>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단어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</si>
  <si>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단어를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</si>
  <si>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요일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숫자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적힌 달력을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</si>
  <si>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요일과 숫자가 적힌 달력을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</si>
  <si>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화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삼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요일과 숫자를 소리 내어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그림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달력 그림</t>
    </r>
  </si>
  <si>
    <r>
      <rPr>
        <sz val="9"/>
        <rFont val="WenQuanYi Zen Hei"/>
        <family val="2"/>
      </rPr>
      <t xml:space="preserve">알림장의 내용 중 과목명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실과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영어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이나 짧은 단어 단위의 공지사항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체육대회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모자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소리 내어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</si>
  <si>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알림장 내용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실과 — 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체육대회 안내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</si>
  <si>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실과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체육대회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과목명이나 짧은 단어를 소리 내어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알림장 형식 자료</t>
    </r>
  </si>
  <si>
    <r>
      <rPr>
        <sz val="9"/>
        <rFont val="WenQuanYi Zen Hei"/>
        <family val="2"/>
      </rPr>
      <t xml:space="preserve">사물의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해당 물건을 정확히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</si>
  <si>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사물 이름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</si>
  <si>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카드를 읽고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풀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의 실제 물건을 책상 위에서 정확히 찾아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</si>
  <si>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동물 이름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코뿔소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표범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치타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원숭이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해당하는 동물의 사진을 정확히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</si>
  <si>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동물 이름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호랑이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치타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원숭이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</si>
  <si>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카드를 읽고 같은 동물의 사진을 정확히 찾아 가리킨다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동물 그림 카드 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동물 단어 카드</t>
    </r>
  </si>
  <si>
    <t xml:space="preserve">R-1-2-3</t>
  </si>
  <si>
    <r>
      <rPr>
        <sz val="9"/>
        <rFont val="WenQuanYi Zen Hei"/>
        <family val="2"/>
      </rPr>
      <t xml:space="preserve">반대되는 의미를 가진 단어 쌍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크다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작다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적힌 카드를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알맞은 쌍끼리 짝을 지어 분류한다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</si>
  <si>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반대 의미의 단어 쌍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크다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작다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빠르다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느리다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길다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짧다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흩어 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</si>
  <si>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카드를 읽고 알맞은 쌍끼리 짝 지어 모은다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</si>
  <si>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표지판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간판에 쓰여진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목적지를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</si>
  <si>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약국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병원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보건실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화장실 표지판 사진을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</si>
  <si>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표지판의 글자를 읽고 해당 장소를 찾아 가거나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</si>
  <si>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급식 식단표에 쓰인 음식 이름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김치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자신이 먹게 될 주요 메뉴를 파악한다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</si>
  <si>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급식 식단표를 보여 준 후 오늘 주요 메뉴를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</si>
  <si>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김치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비빔밥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식단표를 읽고 오늘 자기가 먹게 될 주요 음식을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급식 식단표</t>
    </r>
  </si>
  <si>
    <r>
      <rPr>
        <sz val="9"/>
        <rFont val="WenQuanYi Zen Hei"/>
        <family val="2"/>
      </rPr>
      <t xml:space="preserve">경고문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뛰지 마시오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멈추시오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기대지 마시오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해당하는 픽토그램을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</si>
  <si>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경고문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뛰지 마시오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멈추시오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기대지 마시오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카드와 픽토그램을 따로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</si>
  <si>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경고문을 읽고 알맞은 픽토그램을 찾아 짝 짓는다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</si>
  <si>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받침이 있는 글자가 포함된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공이 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엄마가 밥을 만들어요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연필이 책상 위에 있어요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비교적 정확한 발음으로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</si>
  <si>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받침이 있는 글자가 포함된 짧은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가방 안에 공이 있어요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엄마가 밥을 만들어요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</si>
  <si>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문장을 소리 내어 읽으며</t>
    </r>
    <r>
      <rPr>
        <sz val="9"/>
        <rFont val="맑은 고딕"/>
        <family val="0"/>
        <charset val="1"/>
      </rPr>
      <t xml:space="preserve">, ‘</t>
    </r>
    <r>
      <rPr>
        <sz val="9"/>
        <rFont val="WenQuanYi Zen Hei"/>
        <family val="2"/>
      </rPr>
      <t xml:space="preserve">방’</t>
    </r>
    <r>
      <rPr>
        <sz val="9"/>
        <rFont val="맑은 고딕"/>
        <family val="0"/>
        <charset val="1"/>
      </rPr>
      <t xml:space="preserve">, ‘</t>
    </r>
    <r>
      <rPr>
        <sz val="9"/>
        <rFont val="WenQuanYi Zen Hei"/>
        <family val="2"/>
      </rPr>
      <t xml:space="preserve">공’</t>
    </r>
    <r>
      <rPr>
        <sz val="9"/>
        <rFont val="맑은 고딕"/>
        <family val="0"/>
        <charset val="1"/>
      </rPr>
      <t xml:space="preserve">, ‘</t>
    </r>
    <r>
      <rPr>
        <sz val="9"/>
        <rFont val="WenQuanYi Zen Hei"/>
        <family val="2"/>
      </rPr>
      <t xml:space="preserve">밥’과 같이 받침이 있는 글자를 빠뜨리지 않고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</si>
  <si>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 모양이 비슷한 글자들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포함된 짧은 문장을 눈으로 식별하여 정확한 소릿값으로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</si>
  <si>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 모양이 비슷한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발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방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들어간 짧은 문장을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</si>
  <si>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비슷한 글자를 정확히 식별해 또박또박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</si>
  <si>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문장의 띄어쓰기 단위 또는 어절에 맞춰 적절한 간격을 두어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</si>
  <si>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</si>
  <si>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띄어쓰기 단위나 어절에 맞춰 살짝 쉬며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학교에 가서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친구를 만나요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</si>
  <si>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마침표</t>
    </r>
    <r>
      <rPr>
        <sz val="9"/>
        <rFont val="맑은 고딕"/>
        <family val="0"/>
        <charset val="1"/>
      </rPr>
      <t xml:space="preserve">(.)</t>
    </r>
    <r>
      <rPr>
        <sz val="9"/>
        <rFont val="WenQuanYi Zen Hei"/>
        <family val="2"/>
      </rPr>
      <t xml:space="preserve">가 있는 곳에서 문장이 끝났음을 인지하고 충분히 쉬어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</si>
  <si>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마침표가 여러 번 나오는 글을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</si>
  <si>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마침표가 있는 곳에서 충분히 쉬어 한 문장씩 또박또박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오늘은 학교에 갔어요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친구를 만났어요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같이 점심을 먹었어요</t>
    </r>
    <r>
      <rPr>
        <sz val="9"/>
        <rFont val="맑은 고딕"/>
        <family val="0"/>
        <charset val="1"/>
      </rPr>
      <t xml:space="preserve">."</t>
    </r>
  </si>
  <si>
    <t xml:space="preserve">R-2-1-3</t>
  </si>
  <si>
    <r>
      <rPr>
        <sz val="9"/>
        <rFont val="WenQuanYi Zen Hei"/>
        <family val="2"/>
      </rPr>
      <t xml:space="preserve">쉼표</t>
    </r>
    <r>
      <rPr>
        <sz val="9"/>
        <rFont val="맑은 고딕"/>
        <family val="0"/>
        <charset val="1"/>
      </rPr>
      <t xml:space="preserve">(,)</t>
    </r>
    <r>
      <rPr>
        <sz val="9"/>
        <rFont val="WenQuanYi Zen Hei"/>
        <family val="2"/>
      </rPr>
      <t xml:space="preserve">가 있는 곳에서 살짝 쉬어 읽으며 문맥을 연결한다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</si>
  <si>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쉼표가 들어 있는 문장을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</si>
  <si>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쉼표가 있는 곳에서 살짝 쉬며 자연스럽게 읽는다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나는 빵과 우유</t>
    </r>
    <r>
      <rPr>
        <sz val="9"/>
        <rFont val="맑은 고딕"/>
        <family val="0"/>
        <charset val="1"/>
      </rPr>
      <t xml:space="preserve">, (</t>
    </r>
    <r>
      <rPr>
        <sz val="9"/>
        <rFont val="WenQuanYi Zen Hei"/>
        <family val="2"/>
      </rPr>
      <t xml:space="preserve">살짝 쉼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사과를 먹었어요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</si>
  <si>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친구가 운동장에서 축구를 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누가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무엇을 하는지 알맞은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</si>
  <si>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친구가 운동장에서 축구를 합니다</t>
    </r>
    <r>
      <rPr>
        <sz val="9"/>
        <rFont val="맑은 고딕"/>
        <family val="0"/>
        <charset val="1"/>
      </rPr>
      <t xml:space="preserve">.“ </t>
    </r>
    <r>
      <rPr>
        <sz val="9"/>
        <rFont val="WenQuanYi Zen Hei"/>
        <family val="2"/>
      </rPr>
      <t xml:space="preserve">이어서 그림 카드 여러 장을 보여 준 후 문장에 맞는 그림을 찾게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</si>
  <si>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누가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친구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어디에서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운동장</t>
    </r>
    <r>
      <rPr>
        <sz val="9"/>
        <rFont val="맑은 고딕"/>
        <family val="0"/>
        <charset val="1"/>
      </rPr>
      <t xml:space="preserve">), </t>
    </r>
    <r>
      <rPr>
        <sz val="9"/>
        <rFont val="WenQuanYi Zen Hei"/>
        <family val="2"/>
      </rPr>
      <t xml:space="preserve">무엇을 하는지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축구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그림을 가리킨다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</si>
  <si>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장소에 따른 주의사항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도서관에서는 조용히 책을 읽습니다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문장의 내용에 알맞은 그림에 표시한다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</si>
  <si>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장소에 따른 주의사항 문장을 보여 준다</t>
    </r>
    <r>
      <rPr>
        <sz val="9"/>
        <rFont val="맑은 고딕"/>
        <family val="0"/>
        <charset val="1"/>
      </rPr>
      <t xml:space="preserve">. ① "</t>
    </r>
    <r>
      <rPr>
        <sz val="9"/>
        <rFont val="WenQuanYi Zen Hei"/>
        <family val="2"/>
      </rPr>
      <t xml:space="preserve">도서관에서는 조용히 책을 읽습니다</t>
    </r>
    <r>
      <rPr>
        <sz val="9"/>
        <rFont val="맑은 고딕"/>
        <family val="0"/>
        <charset val="1"/>
      </rPr>
      <t xml:space="preserve">." ② "</t>
    </r>
    <r>
      <rPr>
        <sz val="9"/>
        <rFont val="WenQuanYi Zen Hei"/>
        <family val="2"/>
      </rPr>
      <t xml:space="preserve">급식실에서는 줄을 서서 음식을 받습니다</t>
    </r>
    <r>
      <rPr>
        <sz val="9"/>
        <rFont val="맑은 고딕"/>
        <family val="0"/>
        <charset val="1"/>
      </rPr>
      <t xml:space="preserve">." ③ "</t>
    </r>
    <r>
      <rPr>
        <sz val="9"/>
        <rFont val="WenQuanYi Zen Hei"/>
        <family val="2"/>
      </rPr>
      <t xml:space="preserve">복도에서는 뛰지 않습니다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이어서 그림 카드를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</si>
  <si>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문장에 맞는 그림에 표시한다</t>
    </r>
    <r>
      <rPr>
        <sz val="9"/>
        <rFont val="맑은 고딕"/>
        <family val="0"/>
        <charset val="1"/>
      </rPr>
      <t xml:space="preserve">.</t>
    </r>
  </si>
  <si>
    <t xml:space="preserve">R-2-2-3</t>
  </si>
  <si>
    <r>
      <rPr>
        <sz val="9"/>
        <rFont val="WenQuanYi Zen Hei"/>
        <family val="2"/>
      </rPr>
      <t xml:space="preserve">교과서의 학습 목표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글을 읽고 중심 문장을 찾아봅시다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 오늘 배울 내용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중심 문장 찾기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무엇인지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</si>
  <si>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교과서의 학습 목표를 보여 준 후 오늘 배울 내용이 무엇인지 묻는다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글을 읽고 중심 문장을 찾아봅시다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</si>
  <si>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학습 목표를 읽고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중심 문장 찾기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처럼 오늘 배울 내용을 짧게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</si>
  <si>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광고문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특산물 광고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상품명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파는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종류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골라낸다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</si>
  <si>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광고문을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광고문에 제시된 상품의 파는 곳을 찾게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</si>
  <si>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광고문을 보고 파는 곳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제주 직거래 쇼핑몰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골라낸다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특산물 광고문</t>
    </r>
  </si>
  <si>
    <r>
      <rPr>
        <sz val="9"/>
        <rFont val="WenQuanYi Zen Hei"/>
        <family val="2"/>
      </rPr>
      <t xml:space="preserve">안내문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체육 대회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명확한 정보를 찾아내어 알림장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날짜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준비물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옮겨 적는다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</si>
  <si>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안내문을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</si>
  <si>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안내문을 읽고 알림장에 필요한 정보를 옮겨 적는다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날짜</t>
    </r>
    <r>
      <rPr>
        <sz val="9"/>
        <rFont val="맑은 고딕"/>
        <family val="0"/>
        <charset val="1"/>
      </rPr>
      <t xml:space="preserve">: 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15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) / 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오전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학교 운동장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모자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단체 티셔츠 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체육대회 안내문</t>
    </r>
  </si>
  <si>
    <r>
      <rPr>
        <sz val="9"/>
        <rFont val="WenQuanYi Zen Hei"/>
        <family val="2"/>
      </rPr>
      <t xml:space="preserve">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동생은 </t>
    </r>
    <r>
      <rPr>
        <sz val="9"/>
        <rFont val="맑은 고딕"/>
        <family val="0"/>
        <charset val="1"/>
      </rPr>
      <t xml:space="preserve">v </t>
    </r>
    <r>
      <rPr>
        <sz val="9"/>
        <rFont val="WenQuanYi Zen Hei"/>
        <family val="2"/>
      </rPr>
      <t xml:space="preserve">귀여워요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주어와 서술어로 나누어 적절히 끊어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</si>
  <si>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동생은 귀여워요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</si>
  <si>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주어와 서술어를 나누어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동생은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귀여워요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식으로 끊어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</si>
  <si>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꾸며주는 말이 포함된 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크고 맛있는 사과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하나의 의미 단위로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</si>
  <si>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꾸며주는 말이 포함된 구를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크고 맛있는 사과</t>
    </r>
    <r>
      <rPr>
        <sz val="9"/>
        <rFont val="맑은 고딕"/>
        <family val="0"/>
        <charset val="1"/>
      </rPr>
      <t xml:space="preserve">"</t>
    </r>
  </si>
  <si>
    <r>
      <rPr>
        <sz val="9"/>
        <rFont val="WenQuanYi Zen Hei"/>
        <family val="2"/>
      </rPr>
      <t xml:space="preserve">하나의 의미 단위로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크고 맛있는 사과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라고 자연스럽게 한 번에 읽는다</t>
    </r>
    <r>
      <rPr>
        <sz val="9"/>
        <rFont val="맑은 고딕"/>
        <family val="0"/>
        <charset val="1"/>
      </rPr>
      <t xml:space="preserve">.</t>
    </r>
  </si>
  <si>
    <t xml:space="preserve">R-2-4-3</t>
  </si>
  <si>
    <r>
      <rPr>
        <sz val="9"/>
        <rFont val="WenQuanYi Zen Hei"/>
        <family val="2"/>
      </rPr>
      <t xml:space="preserve">이어주는 말</t>
    </r>
    <r>
      <rPr>
        <sz val="9"/>
        <rFont val="맑은 고딕"/>
        <family val="0"/>
        <charset val="1"/>
      </rPr>
      <t xml:space="preserve">(-</t>
    </r>
    <r>
      <rPr>
        <sz val="9"/>
        <rFont val="WenQuanYi Zen Hei"/>
        <family val="2"/>
      </rPr>
      <t xml:space="preserve">고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거나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이어서</t>
    </r>
    <r>
      <rPr>
        <sz val="9"/>
        <rFont val="맑은 고딕"/>
        <family val="0"/>
        <charset val="1"/>
      </rPr>
      <t xml:space="preserve">, -</t>
    </r>
    <r>
      <rPr>
        <sz val="9"/>
        <rFont val="WenQuanYi Zen Hei"/>
        <family val="2"/>
      </rPr>
      <t xml:space="preserve">해서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있는 문장을 앞 절과 뒤 절로 끊어 읽을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</si>
  <si>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이어 주는 말이 있는 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나는 책을 읽고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친구는 그림을 그렸어요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비가 와서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우산을 썼어요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</si>
  <si>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앞 절과 뒤 절 사이에 살짝 쉬며 자연스럽게 읽는다</t>
    </r>
    <r>
      <rPr>
        <sz val="9"/>
        <rFont val="맑은 고딕"/>
        <family val="0"/>
        <charset val="1"/>
      </rPr>
      <t xml:space="preserve">.</t>
    </r>
  </si>
  <si>
    <t xml:space="preserve">R-2-4-4</t>
  </si>
  <si>
    <r>
      <rPr>
        <sz val="9"/>
        <rFont val="WenQuanYi Zen Hei"/>
        <family val="2"/>
      </rPr>
      <t xml:space="preserve">안은문장을 의미 단위로 나누어 읽는다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</si>
  <si>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안은문장을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농부는 비가 오기를 기다려요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앞발이 짧은 토끼를 보았어요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</si>
  <si>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생활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내용에 맞는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</si>
  <si>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글을 보여 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읽기 지문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K-pop </t>
    </r>
    <r>
      <rPr>
        <sz val="9"/>
        <rFont val="WenQuanYi Zen Hei"/>
        <family val="2"/>
      </rPr>
      <t xml:space="preserve">댄스를 좋아합니다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매일 학교가 끝나면 집에서 좋아하는 아이돌의 댄스를 연습합니다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처음에는 어렵고 힘들었지만 이제는 많이 늘었어요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지난 학예회에서 친구들 앞에서 공연도 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앞으로도 열심히 연습해서 더 잘하고 싶습니다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</si>
  <si>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주제와 관련된 그림을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</si>
  <si>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</t>
    </r>
    <r>
      <rPr>
        <sz val="9"/>
        <rFont val="맑은 고딕"/>
        <family val="0"/>
        <charset val="1"/>
      </rPr>
      <t xml:space="preserve">(K-pop </t>
    </r>
    <r>
      <rPr>
        <sz val="9"/>
        <rFont val="WenQuanYi Zen Hei"/>
        <family val="2"/>
      </rPr>
      <t xml:space="preserve">댄스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그리기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생활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글을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주요 정보를 답한다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</si>
  <si>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주제의 짧은 글을 보여 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질문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지문 속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는 취미가 무엇인가요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</si>
  <si>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그림 그리기입니다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읽기 지문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</si>
  <si>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체험활동 보고서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사실과 생각이나 느낌을 구분한다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</si>
  <si>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중 하나를 보여 준다</t>
    </r>
    <r>
      <rPr>
        <sz val="9"/>
        <rFont val="맑은 고딕"/>
        <family val="0"/>
        <charset val="1"/>
      </rPr>
      <t xml:space="preserve">. [</t>
    </r>
    <r>
      <rPr>
        <sz val="9"/>
        <rFont val="WenQuanYi Zen Hei"/>
        <family val="2"/>
      </rPr>
      <t xml:space="preserve">질문</t>
    </r>
    <r>
      <rPr>
        <sz val="9"/>
        <rFont val="맑은 고딕"/>
        <family val="0"/>
        <charset val="1"/>
      </rPr>
      <t xml:space="preserve">]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사실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생각과 느낌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밑줄을 그어 보세요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</si>
  <si>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교사의 지시에 따라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사실 혹은 생각과 느낌에 밑줄 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체험활동 보고서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</si>
  <si>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감상문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글쓴이의 개인적인 의견이나 느낌이 담긴 문장을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</si>
  <si>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일기나 감상문을 보여 준 후</t>
    </r>
    <r>
      <rPr>
        <sz val="9"/>
        <rFont val="맑은 고딕"/>
        <family val="0"/>
        <charset val="1"/>
      </rPr>
      <t xml:space="preserve">, '</t>
    </r>
    <r>
      <rPr>
        <sz val="9"/>
        <rFont val="WenQuanYi Zen Hei"/>
        <family val="2"/>
      </rPr>
      <t xml:space="preserve">사실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인 곳에 빨간색 밑줄</t>
    </r>
    <r>
      <rPr>
        <sz val="9"/>
        <rFont val="맑은 고딕"/>
        <family val="0"/>
        <charset val="1"/>
      </rPr>
      <t xml:space="preserve">, '</t>
    </r>
    <r>
      <rPr>
        <sz val="9"/>
        <rFont val="WenQuanYi Zen Hei"/>
        <family val="2"/>
      </rPr>
      <t xml:space="preserve">생각이나 느낌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인 곳에 파란색 밑줄을 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</si>
  <si>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읽기를 읽고 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사실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인 곳에 빨간색 밑줄</t>
    </r>
    <r>
      <rPr>
        <sz val="9"/>
        <rFont val="맑은 고딕"/>
        <family val="0"/>
        <charset val="1"/>
      </rPr>
      <t xml:space="preserve">, '</t>
    </r>
    <r>
      <rPr>
        <sz val="9"/>
        <rFont val="WenQuanYi Zen Hei"/>
        <family val="2"/>
      </rPr>
      <t xml:space="preserve">생각이나 느낌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인 곳에 파란색 밑줄을 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짧은 일기</t>
    </r>
  </si>
  <si>
    <r>
      <rPr>
        <sz val="9"/>
        <rFont val="WenQuanYi Zen Hei"/>
        <family val="2"/>
      </rPr>
      <t xml:space="preserve">설명문을 읽고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가지 이상 주요 특징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대상의 생김새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사는 곳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</si>
  <si>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설명문을 보여 준 후</t>
    </r>
    <r>
      <rPr>
        <sz val="9"/>
        <rFont val="맑은 고딕"/>
        <family val="0"/>
        <charset val="1"/>
      </rPr>
      <t xml:space="preserve">, 6</t>
    </r>
    <r>
      <rPr>
        <sz val="9"/>
        <rFont val="WenQuanYi Zen Hei"/>
        <family val="2"/>
      </rPr>
      <t xml:space="preserve">장의 카드 중 세 가지 주요 특징 카드를 찾게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</si>
  <si>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설명문을 읽고 수달의 주요 특징 세 가지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물갈퀴가 있는 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물고기를 먹는 수달 모습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강이나 호수 그림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설명문</t>
    </r>
  </si>
  <si>
    <r>
      <rPr>
        <sz val="9"/>
        <rFont val="WenQuanYi Zen Hei"/>
        <family val="2"/>
      </rPr>
      <t xml:space="preserve">이야기를 읽고 인물과 배경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시간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장소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</si>
  <si>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이야기를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</si>
  <si>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이야기의 인물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민수와 지우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배경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어느 봄날 오후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운동장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이야기</t>
    </r>
  </si>
  <si>
    <r>
      <rPr>
        <sz val="9"/>
        <rFont val="WenQuanYi Zen Hei"/>
        <family val="2"/>
      </rPr>
      <t xml:space="preserve">하나의 문단을 읽고 그 문단의 소주제 또는 제목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자연 보호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정한다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</si>
  <si>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한 문단의 글을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</si>
  <si>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문단을 읽고 제목이 적힌 카드 중 문단의 내용에 알맞은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읽기 지문</t>
    </r>
    <r>
      <rPr>
        <sz val="9"/>
        <rFont val="맑은 고딕"/>
        <family val="0"/>
        <charset val="1"/>
      </rPr>
      <t xml:space="preserve">_</t>
    </r>
    <r>
      <rPr>
        <sz val="9"/>
        <rFont val="WenQuanYi Zen Hei"/>
        <family val="2"/>
      </rPr>
      <t xml:space="preserve">하나의 문단</t>
    </r>
  </si>
  <si>
    <r>
      <rPr>
        <sz val="9"/>
        <rFont val="WenQuanYi Zen Hei"/>
        <family val="2"/>
      </rPr>
      <t xml:space="preserve">중심 문장과 뒷받침 문장으로 이루어진 문단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언어 예절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핵심 주장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바른 말과 고운 말을 씁시다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만 포함된 문장을 골라낸다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</si>
  <si>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중심 문장과 뒷받침 문장으로 된 문단을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</si>
  <si>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핵심 주장이 포함된 문장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읽기 지문</t>
    </r>
    <r>
      <rPr>
        <sz val="9"/>
        <rFont val="맑은 고딕"/>
        <family val="0"/>
        <charset val="1"/>
      </rPr>
      <t xml:space="preserve">_</t>
    </r>
    <r>
      <rPr>
        <sz val="9"/>
        <rFont val="WenQuanYi Zen Hei"/>
        <family val="2"/>
      </rPr>
      <t xml:space="preserve">하나의 문단</t>
    </r>
  </si>
  <si>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한국문화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온라인 언어폭력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약물 오남용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중심내용을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</si>
  <si>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다양한 주제의 짧은 글을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</si>
  <si>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중심 내용이 포함된 문장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읽기 지문</t>
    </r>
  </si>
  <si>
    <r>
      <rPr>
        <sz val="9"/>
        <rFont val="WenQuanYi Zen Hei"/>
        <family val="2"/>
      </rPr>
      <t xml:space="preserve">다양한 주제의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인공지능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대상의 장점과 단점을 비교한다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</si>
  <si>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장점과 단점이 적힌 짧은 글을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</si>
  <si>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글에서 장점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편리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빠른 정보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단점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일자리 감소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잘못된 정보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비교해 문장 카드를 구분하여</t>
    </r>
    <r>
      <rPr>
        <sz val="9"/>
        <rFont val="맑은 고딕"/>
        <family val="0"/>
        <charset val="1"/>
      </rPr>
      <t xml:space="preserve">, T</t>
    </r>
    <r>
      <rPr>
        <sz val="9"/>
        <rFont val="WenQuanYi Zen Hei"/>
        <family val="2"/>
      </rPr>
      <t xml:space="preserve">차트 빈칸에 채운다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읽기 지문</t>
    </r>
  </si>
  <si>
    <r>
      <rPr>
        <sz val="9"/>
        <rFont val="WenQuanYi Zen Hei"/>
        <family val="2"/>
      </rPr>
      <t xml:space="preserve">다른 나라의 문화나 축제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추수감사절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춘절과 추석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관한 글을 읽고 우리나라 문화와 비교한다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</si>
  <si>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우리나라와 다른 나라의 문화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축제에 관한 글을 보여 준다</t>
    </r>
    <r>
      <rPr>
        <sz val="9"/>
        <rFont val="맑은 고딕"/>
        <family val="0"/>
        <charset val="1"/>
      </rPr>
      <t xml:space="preserve">. *</t>
    </r>
    <r>
      <rPr>
        <sz val="9"/>
        <rFont val="WenQuanYi Zen Hei"/>
        <family val="2"/>
      </rPr>
      <t xml:space="preserve">개념에 오류가 없게 주의</t>
    </r>
    <r>
      <rPr>
        <sz val="9"/>
        <rFont val="맑은 고딕"/>
        <family val="0"/>
        <charset val="1"/>
      </rPr>
      <t xml:space="preserve">*</t>
    </r>
  </si>
  <si>
    <r>
      <rPr>
        <sz val="9"/>
        <rFont val="WenQuanYi Zen Hei"/>
        <family val="2"/>
      </rPr>
      <t xml:space="preserve">두 나라가 명절을 즐기는 모습을 그린 카드를 각 나라에 맞게 나눈다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세계 문화 비교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</si>
  <si>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전래 동화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이솝 우화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다음에 이어질 이야기를 짐작하여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</si>
  <si>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전래 동화나 이솝 우화의 앞부분을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</si>
  <si>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다음에 이어질 이야기를 짐작해 알맞은 문장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이야기 앞부분</t>
    </r>
  </si>
  <si>
    <r>
      <rPr>
        <sz val="9"/>
        <rFont val="WenQuanYi Zen Hei"/>
        <family val="2"/>
      </rPr>
      <t xml:space="preserve">비언어적 묘사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얼굴이 찡그려지다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손을 부르르 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읽고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인물의 마음을 추측한다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</si>
  <si>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비언어적 묘사가 들어간 짧은 글을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</si>
  <si>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이야기에 맞는 장면 카드와 감정 카드를 고른다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읽기 지문</t>
    </r>
  </si>
  <si>
    <r>
      <rPr>
        <sz val="9"/>
        <rFont val="WenQuanYi Zen Hei"/>
        <family val="2"/>
      </rPr>
      <t xml:space="preserve">모르는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증발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나왔을 때 문맥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물이 끓어서 증발해서 물이 줄어들었어요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통해 단어의 대략적인 의미를 짐작한다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</si>
  <si>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모르는 어휘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증발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가 들어간 문장을 보여 준 후</t>
    </r>
    <r>
      <rPr>
        <sz val="9"/>
        <rFont val="맑은 고딕"/>
        <family val="0"/>
        <charset val="1"/>
      </rPr>
      <t xml:space="preserve">, '</t>
    </r>
    <r>
      <rPr>
        <sz val="9"/>
        <rFont val="WenQuanYi Zen Hei"/>
        <family val="2"/>
      </rPr>
      <t xml:space="preserve">증발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의 의미가 무엇인 거 같은지 묻는다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</si>
  <si>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문맥을 통해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증발은 물이 사라지는 것이에요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단어의 대략적인 의미를 짐작해 답한다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읽기 지문</t>
    </r>
  </si>
  <si>
    <r>
      <rPr>
        <sz val="9"/>
        <rFont val="WenQuanYi Zen Hei"/>
        <family val="2"/>
      </rPr>
      <t xml:space="preserve">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사용설명서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레시피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공지사항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자기소개서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핵심 내용을 찾는다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</si>
  <si>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전달하는 짧은 글을 제시한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중요한 내용이 무엇인지 찾아볼까요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언제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어디로 가나요</t>
    </r>
    <r>
      <rPr>
        <sz val="9"/>
        <rFont val="맑은 고딕"/>
        <family val="0"/>
        <charset val="1"/>
      </rPr>
      <t xml:space="preserve">?", "</t>
    </r>
    <r>
      <rPr>
        <sz val="9"/>
        <rFont val="WenQuanYi Zen Hei"/>
        <family val="2"/>
      </rPr>
      <t xml:space="preserve">준비물이 뭐예요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처럼 핵심 내용을 묻는 질문을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</si>
  <si>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12</t>
    </r>
    <r>
      <rPr>
        <sz val="9"/>
        <rFont val="WenQuanYi Zen Hei"/>
        <family val="2"/>
      </rPr>
      <t xml:space="preserve">일에 국립생태원에 가요</t>
    </r>
    <r>
      <rPr>
        <sz val="9"/>
        <rFont val="맑은 고딕"/>
        <family val="0"/>
        <charset val="1"/>
      </rPr>
      <t xml:space="preserve">.", "</t>
    </r>
    <r>
      <rPr>
        <sz val="9"/>
        <rFont val="WenQuanYi Zen Hei"/>
        <family val="2"/>
      </rPr>
      <t xml:space="preserve">준비물은 도시락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필기도구예요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글에서 핵심 내용을 찾아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현장체험학습 안내문</t>
    </r>
  </si>
  <si>
    <r>
      <rPr>
        <sz val="9"/>
        <rFont val="WenQuanYi Zen Hei"/>
        <family val="2"/>
      </rPr>
      <t xml:space="preserve">주장하는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공익광고 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주장과 근거를 고른다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</si>
  <si>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주장하는 글을 제시한 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글쓴이가 무엇을 주장하고 있나요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근거는 무엇인가요</t>
    </r>
    <r>
      <rPr>
        <sz val="9"/>
        <rFont val="맑은 고딕"/>
        <family val="0"/>
        <charset val="1"/>
      </rPr>
      <t xml:space="preserve">?" </t>
    </r>
    <r>
      <rPr>
        <sz val="9"/>
        <rFont val="WenQuanYi Zen Hei"/>
        <family val="2"/>
      </rPr>
      <t xml:space="preserve">라고 말한다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</si>
  <si>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주장은 점심시간에도 도서관을 이용할 수 있게 하자는 것입니다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근거는 쉬는 시간이 짧고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점심시간에 도서관을 열면 학생들이 더 편하게 책을 읽을 수 있다는 것입니다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처럼 글쓴이의 주장과 근거를 찾아 말한다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주장하는글</t>
    </r>
    <r>
      <rPr>
        <sz val="9"/>
        <rFont val="맑은 고딕"/>
        <family val="0"/>
        <charset val="1"/>
      </rPr>
      <t xml:space="preserve">_</t>
    </r>
    <r>
      <rPr>
        <sz val="9"/>
        <rFont val="WenQuanYi Zen Hei"/>
        <family val="2"/>
      </rPr>
      <t xml:space="preserve">점심시간에도 도서관을 이용하게 하자</t>
    </r>
  </si>
  <si>
    <r>
      <rPr>
        <sz val="9"/>
        <rFont val="WenQuanYi Zen Hei"/>
        <family val="2"/>
      </rPr>
      <t xml:space="preserve">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설명하는 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전기문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기행문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대본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읽고 요약된 문장을 순서대로 배열한다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</si>
  <si>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짧은 글 한 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이야기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</si>
  <si>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글을 읽고 글의 상황을 나타내는 그림 카드를 시간 순서대로 배열한다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이야기</t>
    </r>
  </si>
  <si>
    <r>
      <rPr>
        <sz val="9"/>
        <rFont val="WenQuanYi Zen Hei"/>
        <family val="2"/>
      </rPr>
      <t xml:space="preserve">글의 구조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서론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본론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결론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따라 글의 순서를 배치한다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</si>
  <si>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글의 구조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서론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결론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문단 카드 세 장을 흩어 놓고 순서에 따라 배치하게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</si>
  <si>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나→ 다→ 가 순서로 카드를 배치한다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예시 양식 </t>
    </r>
    <r>
      <rPr>
        <sz val="9"/>
        <rFont val="맑은 고딕"/>
        <family val="0"/>
        <charset val="1"/>
      </rPr>
      <t xml:space="preserve">· </t>
    </r>
    <r>
      <rPr>
        <sz val="9"/>
        <rFont val="WenQuanYi Zen Hei"/>
        <family val="2"/>
      </rPr>
      <t xml:space="preserve">글 구조 단락 카드</t>
    </r>
  </si>
  <si>
    <r>
      <rPr>
        <sz val="9"/>
        <rFont val="WenQuanYi Zen Hei"/>
        <family val="2"/>
      </rPr>
      <t xml:space="preserve">교사가 제시한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보고 같은 글자를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</si>
  <si>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글자 카드</t>
    </r>
    <r>
      <rPr>
        <sz val="9"/>
        <rFont val="맑은 고딕"/>
        <family val="0"/>
        <charset val="1"/>
      </rPr>
      <t xml:space="preserve">("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", "</t>
    </r>
    <r>
      <rPr>
        <sz val="9"/>
        <rFont val="WenQuanYi Zen Hei"/>
        <family val="2"/>
      </rPr>
      <t xml:space="preserve">다</t>
    </r>
    <r>
      <rPr>
        <sz val="9"/>
        <rFont val="맑은 고딕"/>
        <family val="0"/>
        <charset val="1"/>
      </rPr>
      <t xml:space="preserve">")</t>
    </r>
    <r>
      <rPr>
        <sz val="9"/>
        <rFont val="WenQuanYi Zen Hei"/>
        <family val="2"/>
      </rPr>
      <t xml:space="preserve">를 보여 주고 같은 글자를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</si>
  <si>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카드의 글자를 그대로 따라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나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다</t>
    </r>
  </si>
  <si>
    <r>
      <rPr>
        <sz val="9"/>
        <rFont val="WenQuanYi Zen Hei"/>
        <family val="2"/>
      </rPr>
      <t xml:space="preserve">그림 옆에 제시된 낱말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</si>
  <si>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 옆에 낱말이 있는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</si>
  <si>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 옆 낱말을 보고 그대로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사과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우유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거미</t>
    </r>
  </si>
  <si>
    <r>
      <rPr>
        <sz val="9"/>
        <rFont val="WenQuanYi Zen Hei"/>
        <family val="2"/>
      </rPr>
      <t xml:space="preserve">일상생활에서 자주 보는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</si>
  <si>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일상생활에서 자주 보는 단어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우유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카드로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</si>
  <si>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단어를 보고 그대로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책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학교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가방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친구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교과서</t>
    </r>
  </si>
  <si>
    <r>
      <rPr>
        <sz val="9"/>
        <rFont val="WenQuanYi Zen Hei"/>
        <family val="2"/>
      </rPr>
      <t xml:space="preserve">헷갈리기 쉬운 자음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ㄹ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ㅂ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ㅍ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획순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필순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</si>
  <si>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헷갈리기 쉬운 자음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ㄹ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ㅂ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ㅍ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획순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필순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</si>
  <si>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획순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필순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맞춰 또박또박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</si>
  <si>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모음의 획</t>
    </r>
    <r>
      <rPr>
        <sz val="9"/>
        <rFont val="맑은 고딕"/>
        <family val="0"/>
        <charset val="1"/>
      </rPr>
      <t xml:space="preserve">('</t>
    </r>
    <r>
      <rPr>
        <sz val="9"/>
        <rFont val="WenQuanYi Zen Hei"/>
        <family val="2"/>
      </rPr>
      <t xml:space="preserve">ㅏ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의 짧은 가로획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명확하게 그어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다른 모음과 혼동되지 않도록 또박또박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</si>
  <si>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모음</t>
    </r>
    <r>
      <rPr>
        <sz val="9"/>
        <rFont val="맑은 고딕"/>
        <family val="0"/>
        <charset val="1"/>
      </rPr>
      <t xml:space="preserve">('</t>
    </r>
    <r>
      <rPr>
        <sz val="9"/>
        <rFont val="WenQuanYi Zen Hei"/>
        <family val="2"/>
      </rPr>
      <t xml:space="preserve">ㅏ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ㅓ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ㅗ</t>
    </r>
    <r>
      <rPr>
        <sz val="9"/>
        <rFont val="맑은 고딕"/>
        <family val="0"/>
        <charset val="1"/>
      </rPr>
      <t xml:space="preserve">', '</t>
    </r>
    <r>
      <rPr>
        <sz val="9"/>
        <rFont val="WenQuanYi Zen Hei"/>
        <family val="2"/>
      </rPr>
      <t xml:space="preserve">ㅜ</t>
    </r>
    <r>
      <rPr>
        <sz val="9"/>
        <rFont val="맑은 고딕"/>
        <family val="0"/>
        <charset val="1"/>
      </rPr>
      <t xml:space="preserve">')</t>
    </r>
    <r>
      <rPr>
        <sz val="9"/>
        <rFont val="WenQuanYi Zen Hei"/>
        <family val="2"/>
      </rPr>
      <t xml:space="preserve">의 가로획과 세로획을 강조하며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</si>
  <si>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ㅏ</t>
    </r>
    <r>
      <rPr>
        <sz val="9"/>
        <rFont val="맑은 고딕"/>
        <family val="0"/>
        <charset val="1"/>
      </rPr>
      <t xml:space="preserve">'</t>
    </r>
    <r>
      <rPr>
        <sz val="9"/>
        <rFont val="WenQuanYi Zen Hei"/>
        <family val="2"/>
      </rPr>
      <t xml:space="preserve">의 짧은 가로획을 명확하게 그어 다른 모음과 구별되도록 쓴다</t>
    </r>
    <r>
      <rPr>
        <sz val="9"/>
        <rFont val="맑은 고딕"/>
        <family val="0"/>
        <charset val="1"/>
      </rPr>
      <t xml:space="preserve">.</t>
    </r>
  </si>
  <si>
    <t xml:space="preserve">W-1-2-3</t>
  </si>
  <si>
    <r>
      <rPr>
        <sz val="9"/>
        <rFont val="WenQuanYi Zen Hei"/>
        <family val="2"/>
      </rPr>
      <t xml:space="preserve">받침이 있는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쓸 때 위아래 균형을 맞추어 반듯한 모양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자형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</si>
  <si>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받침이 있는 글자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각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보여 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</si>
  <si>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자음</t>
    </r>
    <r>
      <rPr>
        <sz val="9"/>
        <rFont val="맑은 고딕"/>
        <family val="0"/>
        <charset val="1"/>
      </rPr>
      <t xml:space="preserve">+</t>
    </r>
    <r>
      <rPr>
        <sz val="9"/>
        <rFont val="WenQuanYi Zen Hei"/>
        <family val="2"/>
      </rPr>
      <t xml:space="preserve">모음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와 아래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받침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균형을 맞추어 반듯하게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</si>
  <si>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자신의 출신 국가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필리핀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베트남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키르기스스탄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카자흐스탄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중국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한글로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</si>
  <si>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출신 국가를 한글로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</si>
  <si>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자기 출신 국가를 한글로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베트남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필리핀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키르기스스탄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카자흐스탄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중국</t>
    </r>
  </si>
  <si>
    <r>
      <rPr>
        <sz val="9"/>
        <rFont val="WenQuanYi Zen Hei"/>
        <family val="2"/>
      </rPr>
      <t xml:space="preserve">자신과 관련된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학교 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학년 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</si>
  <si>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나를 소개 하는 종이에 자신의 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번호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나이를 써 보세요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</si>
  <si>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자신의 이름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번호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나이를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이름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신소피야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나이</t>
    </r>
    <r>
      <rPr>
        <sz val="9"/>
        <rFont val="맑은 고딕"/>
        <family val="0"/>
        <charset val="1"/>
      </rPr>
      <t xml:space="preserve">: 12</t>
    </r>
    <r>
      <rPr>
        <sz val="9"/>
        <rFont val="WenQuanYi Zen Hei"/>
        <family val="2"/>
      </rPr>
      <t xml:space="preserve">살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: ○○</t>
    </r>
    <r>
      <rPr>
        <sz val="9"/>
        <rFont val="WenQuanYi Zen Hei"/>
        <family val="2"/>
      </rPr>
      <t xml:space="preserve">초등학교 </t>
    </r>
    <r>
      <rPr>
        <sz val="9"/>
        <rFont val="맑은 고딕"/>
        <family val="0"/>
        <charset val="1"/>
      </rPr>
      <t xml:space="preserve">/ </t>
    </r>
    <r>
      <rPr>
        <sz val="9"/>
        <rFont val="WenQuanYi Zen Hei"/>
        <family val="2"/>
      </rPr>
      <t xml:space="preserve">학년 반</t>
    </r>
    <r>
      <rPr>
        <sz val="9"/>
        <rFont val="맑은 고딕"/>
        <family val="0"/>
        <charset val="1"/>
      </rPr>
      <t xml:space="preserve">: 6</t>
    </r>
    <r>
      <rPr>
        <sz val="9"/>
        <rFont val="WenQuanYi Zen Hei"/>
        <family val="2"/>
      </rPr>
      <t xml:space="preserve">학년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반</t>
    </r>
  </si>
  <si>
    <r>
      <rPr>
        <sz val="9"/>
        <rFont val="WenQuanYi Zen Hei"/>
        <family val="2"/>
      </rPr>
      <t xml:space="preserve">특정 상황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감사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맞는 인사말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생일 축하해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미안해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고마워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담은 카드를 적는다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</si>
  <si>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나누어준 카드 중 친구에게 전하고 싶은 카드를 골라 써 보세요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</si>
  <si>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상황에 맞는 인사말을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생일 축하해</t>
    </r>
    <r>
      <rPr>
        <sz val="9"/>
        <rFont val="맑은 고딕"/>
        <family val="0"/>
        <charset val="1"/>
      </rPr>
      <t xml:space="preserve">!, </t>
    </r>
    <r>
      <rPr>
        <sz val="9"/>
        <rFont val="WenQuanYi Zen Hei"/>
        <family val="2"/>
      </rPr>
      <t xml:space="preserve">내가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해서 미안해</t>
    </r>
    <r>
      <rPr>
        <sz val="9"/>
        <rFont val="맑은 고딕"/>
        <family val="0"/>
        <charset val="1"/>
      </rPr>
      <t xml:space="preserve">, ~</t>
    </r>
    <r>
      <rPr>
        <sz val="9"/>
        <rFont val="WenQuanYi Zen Hei"/>
        <family val="2"/>
      </rPr>
      <t xml:space="preserve">해서 고마워</t>
    </r>
    <r>
      <rPr>
        <sz val="9"/>
        <rFont val="맑은 고딕"/>
        <family val="0"/>
        <charset val="1"/>
      </rPr>
      <t xml:space="preserve">.)</t>
    </r>
  </si>
  <si>
    <r>
      <rPr>
        <sz val="9"/>
        <rFont val="WenQuanYi Zen Hei"/>
        <family val="2"/>
      </rPr>
      <t xml:space="preserve">그림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보고 알맞은 낱말을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</si>
  <si>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 카드를 보여 주고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그림 카드 밑에 해당하는 단어를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</si>
  <si>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그림에 알맞은 낱말을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</si>
  <si>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주어와 서술어를 갖춘 완전한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학년입니다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</si>
  <si>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나를 소개하는 종이에 쓴 자신과 관련된 정보 중 한 가지를 골라 한 문장으로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</si>
  <si>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주어와 서술어를 갖춘 완전한 문장을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학년입니다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저는 신소피야입니다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12</t>
    </r>
    <r>
      <rPr>
        <sz val="9"/>
        <rFont val="WenQuanYi Zen Hei"/>
        <family val="2"/>
      </rPr>
      <t xml:space="preserve">살입니다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</si>
  <si>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알고 있는 단어 여러 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연결하여 기본 문장 구조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사과를 먹습니다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만든다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</si>
  <si>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단어 카드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먹다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주고 문장을 만들게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</si>
  <si>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단어를 자연스럽게 연결해 기본 문장을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나는 사과를 먹습니다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저는 매일 사과를 먹어요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</si>
  <si>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긍정문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비가 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부정문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비가 안 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또는 비가 오지 않습니다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형태로 바꿔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</si>
  <si>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긍정문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비가 옵니다</t>
    </r>
    <r>
      <rPr>
        <sz val="9"/>
        <rFont val="맑은 고딕"/>
        <family val="0"/>
        <charset val="1"/>
      </rPr>
      <t xml:space="preserve">.")</t>
    </r>
    <r>
      <rPr>
        <sz val="9"/>
        <rFont val="WenQuanYi Zen Hei"/>
        <family val="2"/>
      </rPr>
      <t xml:space="preserve">을 보여 주고 부정문으로 바꿔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</si>
  <si>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긍정문을 부정문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안</t>
    </r>
    <r>
      <rPr>
        <sz val="9"/>
        <rFont val="맑은 고딕"/>
        <family val="0"/>
        <charset val="1"/>
      </rPr>
      <t xml:space="preserve">~, ~</t>
    </r>
    <r>
      <rPr>
        <sz val="9"/>
        <rFont val="WenQuanYi Zen Hei"/>
        <family val="2"/>
      </rPr>
      <t xml:space="preserve">지 않다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으로 바꿔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비가 옵니다</t>
    </r>
    <r>
      <rPr>
        <sz val="9"/>
        <rFont val="맑은 고딕"/>
        <family val="0"/>
        <charset val="1"/>
      </rPr>
      <t xml:space="preserve">. → </t>
    </r>
    <r>
      <rPr>
        <sz val="9"/>
        <rFont val="WenQuanYi Zen Hei"/>
        <family val="2"/>
      </rPr>
      <t xml:space="preserve">비가 안 옵니다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비가 오지 않습니다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</si>
  <si>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빈칸이 주어진 문장 형식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에서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을 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자신의 경험을 적는다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</si>
  <si>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빈칸 문장 형식을 준다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나는 </t>
    </r>
    <r>
      <rPr>
        <sz val="9"/>
        <rFont val="맑은 고딕"/>
        <family val="0"/>
        <charset val="1"/>
      </rPr>
      <t xml:space="preserve">( )</t>
    </r>
    <r>
      <rPr>
        <sz val="9"/>
        <rFont val="WenQuanYi Zen Hei"/>
        <family val="2"/>
      </rPr>
      <t xml:space="preserve">에서 </t>
    </r>
    <r>
      <rPr>
        <sz val="9"/>
        <rFont val="맑은 고딕"/>
        <family val="0"/>
        <charset val="1"/>
      </rPr>
      <t xml:space="preserve">( )</t>
    </r>
    <r>
      <rPr>
        <sz val="9"/>
        <rFont val="WenQuanYi Zen Hei"/>
        <family val="2"/>
      </rPr>
      <t xml:space="preserve">을 했습니다</t>
    </r>
    <r>
      <rPr>
        <sz val="9"/>
        <rFont val="맑은 고딕"/>
        <family val="0"/>
        <charset val="1"/>
      </rPr>
      <t xml:space="preserve">.")</t>
    </r>
  </si>
  <si>
    <r>
      <rPr>
        <sz val="9"/>
        <rFont val="WenQuanYi Zen Hei"/>
        <family val="2"/>
      </rPr>
      <t xml:space="preserve">자기 경험을 넣어 문장을 완성한다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나는 학교에서 친구와 축구를 했습니다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나는 집에서 숙제를 했습니다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</si>
  <si>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한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</t>
    </r>
    <r>
      <rPr>
        <sz val="9"/>
        <rFont val="맑은 고딕"/>
        <family val="0"/>
        <charset val="1"/>
      </rPr>
      <t xml:space="preserve">2~3</t>
    </r>
    <r>
      <rPr>
        <sz val="9"/>
        <rFont val="WenQuanYi Zen Hei"/>
        <family val="2"/>
      </rPr>
      <t xml:space="preserve">개의 문장으로 이어지게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</si>
  <si>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방학동안 한 일을 두세 문장으로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</si>
  <si>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겪은 일을 이어지게 두세 문장으로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방학동안 가족과 제주도로 여행을 갔습니다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거기에서 바다도 보고 한라산에도 올라갔습니다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재미있는 시간이었습니다</t>
    </r>
    <r>
      <rPr>
        <sz val="9"/>
        <rFont val="맑은 고딕"/>
        <family val="0"/>
        <charset val="1"/>
      </rPr>
      <t xml:space="preserve">.</t>
    </r>
  </si>
  <si>
    <t xml:space="preserve">W-2-3-2</t>
  </si>
  <si>
    <r>
      <rPr>
        <sz val="9"/>
        <rFont val="WenQuanYi Zen Hei"/>
        <family val="2"/>
      </rPr>
      <t xml:space="preserve">경험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방학동안 한 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주말 지낸 이야기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 여행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대한 원인과 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감정 등을 포함하여 </t>
    </r>
    <r>
      <rPr>
        <sz val="9"/>
        <rFont val="맑은 고딕"/>
        <family val="0"/>
        <charset val="1"/>
      </rPr>
      <t xml:space="preserve">3</t>
    </r>
    <r>
      <rPr>
        <sz val="9"/>
        <rFont val="WenQuanYi Zen Hei"/>
        <family val="2"/>
      </rPr>
      <t xml:space="preserve">문장 정도로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</si>
  <si>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주말 지낸 이야기를 원인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감정을 넣어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</si>
  <si>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경험과 그 원인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결과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감정을 포함해 세 문장 정도로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토요일에 친구 생일 파티에 갔습니다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친구들과 게임을 해서 정말 즐거웠습니다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케이크도 맛있어서 또 먹고 싶었습니다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</si>
  <si>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친구에게 전할 짧은 용건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나 화장실 갔다 올게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서준이가 찾아왔었어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점심시간에 만나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메모한다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</si>
  <si>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학교 생활 중 친구에게 전할 짧은 용건을 메모로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</si>
  <si>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친구에게 전할 용건을 짧게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 화장실 갔다 올게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서준이가 찾아왔었어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점심시간에 만나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</si>
  <si>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알림장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요약하여 적는다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</si>
  <si>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알림장 형식을 주고 오늘 안내한 내용 중 필요한 정보를 요약해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</si>
  <si>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정보를 요약해 알림장에 적는다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15</t>
    </r>
    <r>
      <rPr>
        <sz val="9"/>
        <rFont val="WenQuanYi Zen Hei"/>
        <family val="2"/>
      </rPr>
      <t xml:space="preserve">일 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알림장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준비물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색종이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풀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숙제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수학 문제집 </t>
    </r>
    <r>
      <rPr>
        <sz val="9"/>
        <rFont val="맑은 고딕"/>
        <family val="0"/>
        <charset val="1"/>
      </rPr>
      <t xml:space="preserve">10~15</t>
    </r>
    <r>
      <rPr>
        <sz val="9"/>
        <rFont val="WenQuanYi Zen Hei"/>
        <family val="2"/>
      </rPr>
      <t xml:space="preserve">쪽 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안내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내일 단축수업 </t>
    </r>
    <r>
      <rPr>
        <sz val="9"/>
        <rFont val="맑은 고딕"/>
        <family val="0"/>
        <charset val="1"/>
      </rPr>
      <t xml:space="preserve">(1</t>
    </r>
    <r>
      <rPr>
        <sz val="9"/>
        <rFont val="WenQuanYi Zen Hei"/>
        <family val="2"/>
      </rPr>
      <t xml:space="preserve">시 하교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</si>
  <si>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경험과 그에 대한 감정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속상했다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뿌듯했다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구체적인 단어를 사용해 일기를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</si>
  <si>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어제 혹은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있었던 일과 감정을 일기로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</si>
  <si>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경험과 감정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속상했다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뿌듯했다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포함하여 일기를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오늘 학교에서 발표를 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처음에는 떨려서 목소리가 작아졌다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그래도 끝까지 해서 박수를 받았다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정말 뿌듯했다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</si>
  <si>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감명 깊었던 장면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미운 오리 새끼가 백조가 되는 장면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과 그 이유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주인공에게 친구가 생겨서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이젠 혼자가 아니라서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중심으로 감상문을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</si>
  <si>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학생이 읽은 책의 한 장면에 대해 감상문을 쓰게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혹은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짧은 글을 읽고 감상문을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</si>
  <si>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감명 깊은 장면과 그 이유를 중심으로 감상문을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가장 기억에 남는 장면은 미운 오리 새끼가 백조가 되는 장면이다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미운 오리가 친구도 없이 외로웠는데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자기와 비슷한 친구들을 만나서 다행이었다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이제 혼자가 아니어서 정말 기뻤을 것 같다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</si>
  <si>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자신의 생각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감사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요청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제안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담아 편지를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</si>
  <si>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누군가에게 마음을 전할 일이 있는지 묻고 편지를 쓰게 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감사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요청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제안 중 하나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</si>
  <si>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자기 생각을 담아 짧은 편지를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감사 편지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내 친구 미소에게 미소야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나는 예원이야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지난번에 내가 속상해할 때 초콜릿을 건네며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괜찮아</t>
    </r>
    <r>
      <rPr>
        <sz val="9"/>
        <rFont val="맑은 고딕"/>
        <family val="0"/>
        <charset val="1"/>
      </rPr>
      <t xml:space="preserve">?"</t>
    </r>
    <r>
      <rPr>
        <sz val="9"/>
        <rFont val="WenQuanYi Zen Hei"/>
        <family val="2"/>
      </rPr>
      <t xml:space="preserve">라고 해줘서 정말 고마웠어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나도 너처럼 다른 친구를 위로해 주는 친구가 되어야 겠다고 생각했어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앞으로도 친하게 지내자</t>
    </r>
    <r>
      <rPr>
        <sz val="9"/>
        <rFont val="맑은 고딕"/>
        <family val="0"/>
        <charset val="1"/>
      </rPr>
      <t xml:space="preserve">! </t>
    </r>
    <r>
      <rPr>
        <sz val="9"/>
        <rFont val="WenQuanYi Zen Hei"/>
        <family val="2"/>
      </rPr>
      <t xml:space="preserve">그럼 안녕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예원이가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</si>
  <si>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기본적인 조사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은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이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을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를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문맥과 앞 단어의 받침 유무에 맞게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</si>
  <si>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조사에 빈칸이 있는 문장을 준다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"(</t>
    </r>
    <r>
      <rPr>
        <sz val="9"/>
        <rFont val="WenQuanYi Zen Hei"/>
        <family val="2"/>
      </rPr>
      <t xml:space="preserve">나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저</t>
    </r>
    <r>
      <rPr>
        <sz val="9"/>
        <rFont val="맑은 고딕"/>
        <family val="0"/>
        <charset val="1"/>
      </rPr>
      <t xml:space="preserve">)__ </t>
    </r>
    <r>
      <rPr>
        <sz val="9"/>
        <rFont val="WenQuanYi Zen Hei"/>
        <family val="2"/>
      </rPr>
      <t xml:space="preserve">학교</t>
    </r>
    <r>
      <rPr>
        <sz val="9"/>
        <rFont val="맑은 고딕"/>
        <family val="0"/>
        <charset val="1"/>
      </rPr>
      <t xml:space="preserve">__ </t>
    </r>
    <r>
      <rPr>
        <sz val="9"/>
        <rFont val="WenQuanYi Zen Hei"/>
        <family val="2"/>
      </rPr>
      <t xml:space="preserve">가</t>
    </r>
    <r>
      <rPr>
        <sz val="9"/>
        <rFont val="맑은 고딕"/>
        <family val="0"/>
        <charset val="1"/>
      </rPr>
      <t xml:space="preserve">__.")</t>
    </r>
  </si>
  <si>
    <r>
      <rPr>
        <sz val="9"/>
        <rFont val="WenQuanYi Zen Hei"/>
        <family val="2"/>
      </rPr>
      <t xml:space="preserve">받침 유무와 문맥에 맞춰 조사를 알맞게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나는 학교에 가요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저는 학교에 갑니다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책을 읽어요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친구가 와요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</si>
  <si>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높임말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주무시다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드시다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계시다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생신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연세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알맞게 사용한다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</si>
  <si>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어른이 특정 행동을 하고 있는 그림을 보여주고 높임법에 맞게 어떤 상황인지 글을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</si>
  <si>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높임말로 그림의 상황을 알맞게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아버지께서 주무신다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할아버지께 진지를 드렸다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할머니께서 계신다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할아버지의 생신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연세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진지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</si>
  <si>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문장의 시제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어제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한다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할 것이다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맞게 서술어의 형태를 변형한다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</si>
  <si>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오늘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내일 그림 카드를 보여 주고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시제에 맞게 글을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</si>
  <si>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시제에 맞게 서술어 어미를 활용해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어제 학교에서 친구와 축구를 했다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오늘은 도서관에서 책을 읽는다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내일은 가족과 영화를 볼 것이다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</si>
  <si>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친숙한 대상이나 사물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아이돌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굿즈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교우 관계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관해 구체적 특징을 들어 알기 쉽게 설명하는 글을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</si>
  <si>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친숙한 대상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아이돌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굿즈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취미 활동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교우 관계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중 하나를 골라 친구에게 설명하는 짧은 글을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</si>
  <si>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대상의 구체적 특징을 들어 알기 쉽게 설명하는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아이돌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제가 좋아하는 아이돌은 ○○입니다</t>
    </r>
    <r>
      <rPr>
        <sz val="9"/>
        <rFont val="맑은 고딕"/>
        <family val="0"/>
        <charset val="1"/>
      </rPr>
      <t xml:space="preserve">. ○○</t>
    </r>
    <r>
      <rPr>
        <sz val="9"/>
        <rFont val="WenQuanYi Zen Hei"/>
        <family val="2"/>
      </rPr>
      <t xml:space="preserve">는 다섯 명이 활동하는 그룹입니다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모두 노래도 잘하고 춤도 잘 춥니다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노래 가사가 따뜻해서 들으면 기분이 좋아집니다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콘서트에 꼭 가 보고 싶습니다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</si>
  <si>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친구들에게 필요한 정보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숙제 기한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공공시설 이용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전달하는 글을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</si>
  <si>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오늘 수업 공지 중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친구들에게 전할 내용을 간단하게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</si>
  <si>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필요한 정보를 전달하는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이번 주 수학 숙제는 문제집 </t>
    </r>
    <r>
      <rPr>
        <sz val="9"/>
        <rFont val="맑은 고딕"/>
        <family val="0"/>
        <charset val="1"/>
      </rPr>
      <t xml:space="preserve">30</t>
    </r>
    <r>
      <rPr>
        <sz val="9"/>
        <rFont val="WenQuanYi Zen Hei"/>
        <family val="2"/>
      </rPr>
      <t xml:space="preserve">쪽까지이고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금요일까지 풀어와야 해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모르는 문제는 체크해 두었다가 수업 시간에 같이 풀어 보기로 했어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</si>
  <si>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필요한 정보를 전달하는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공익 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메세지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게시판 안내글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</si>
  <si>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공익 광고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인터넷 게시글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메시지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안내글 중 하나를 정해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</si>
  <si>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필요한 정보를 전달하는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교내 게시판 안내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내일 과학 체험 활동이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준비물은 필기도구와 물입니다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운동장에 오전 </t>
    </r>
    <r>
      <rPr>
        <sz val="9"/>
        <rFont val="맑은 고딕"/>
        <family val="0"/>
        <charset val="1"/>
      </rPr>
      <t xml:space="preserve">9</t>
    </r>
    <r>
      <rPr>
        <sz val="9"/>
        <rFont val="WenQuanYi Zen Hei"/>
        <family val="2"/>
      </rPr>
      <t xml:space="preserve">시까지 모여 주세요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</si>
  <si>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교사가 제시한 여러 큰 범주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인공지능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중 하나를 선택하여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구체적인 소주제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로봇의 발전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정해서 글을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</si>
  <si>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큰 범주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인공지능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중 한 가지를 정해 주제를 좁히고 글을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</si>
  <si>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주제에서 벗어나지 않게 관련 있는 내용으로 글을 작성한다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-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- 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우리는 환경을 보호하기 위해 에너지를 아껴 써야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첫째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사용하지 않는 전등은 꺼야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둘째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텔레비전이나 컴퓨터도 사용이 끝난 후에는 전원을 꺼야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셋쨰 물을 낭비하지 않게 양치컵을 사용해야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작은 실천이 모이면 큰 변화를 일으킬 수 있다</t>
    </r>
    <r>
      <rPr>
        <sz val="9"/>
        <rFont val="맑은 고딕"/>
        <family val="0"/>
        <charset val="1"/>
      </rPr>
      <t xml:space="preserve">.</t>
    </r>
  </si>
  <si>
    <t xml:space="preserve">W-4-1-2</t>
  </si>
  <si>
    <r>
      <rPr>
        <sz val="9"/>
        <rFont val="WenQuanYi Zen Hei"/>
        <family val="2"/>
      </rPr>
      <t xml:space="preserve">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로봇의 발전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언어 예절 지키기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에서 벗어나지 않고 처음부터 끝까지 관련 있는 내용으로 문단들을 구성한다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</si>
  <si>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주제를 정해 글을 쓰게 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</si>
  <si>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주제에서 벗어나지 않게 처음부터 끝까지 관련 있는 내용으로 문단들을 구성한다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에너지 절약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우리는 에너지를 아껴 써야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첫째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사용하지 않는 전등은 끄자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둘째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텔레비전이나 컴퓨터도 다 사용하면 꺼야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셋째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양치할 때는 컵을 사용해서 물도 아끼자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작은 실천이 모이면 큰 변화가 생긴다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</si>
  <si>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자주 틀리는 기본적인 맞춤법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낳다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낫다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않다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가르치다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가리키다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잃다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잊다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맞히다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맞추다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구별한다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</si>
  <si>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자주 틀리는 맞춤법 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낳다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낫다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않다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안다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가르치다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가리키다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잃다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잊다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맞히다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맞추다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카드를 보여준다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</si>
  <si>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주어진 상황의 뜻에 맞게 정확히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어머니가 동생을 낳다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감기가 낫다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가지 않다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친구를 안다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선생님이 가르치다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손가락으로 가리키다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낳다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낫다 낳다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낫다 가르치다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가리키다 가르치다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가리키다 안다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않다 안다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않다 맞히다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맞추다 맞히다</t>
    </r>
    <r>
      <rPr>
        <sz val="9"/>
        <rFont val="맑은 고딕"/>
        <family val="0"/>
        <charset val="1"/>
      </rPr>
      <t xml:space="preserve">/</t>
    </r>
    <r>
      <rPr>
        <sz val="9"/>
        <rFont val="WenQuanYi Zen Hei"/>
        <family val="2"/>
      </rPr>
      <t xml:space="preserve">맞추다</t>
    </r>
  </si>
  <si>
    <r>
      <rPr>
        <sz val="9"/>
        <rFont val="WenQuanYi Zen Hei"/>
        <family val="2"/>
      </rPr>
      <t xml:space="preserve">띄어쓰기에 맞게 문장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책 세 권을 빌렸어요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쓸 수 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</si>
  <si>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띄어쓰기가 되어 있지 않은 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책세권을빌렸어요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</si>
  <si>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띄어쓰기에 맞게 다시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책 세 권을 빌렸어요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친구 두 명이 왔어요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사과 한 개를 먹어요</t>
    </r>
    <r>
      <rPr>
        <sz val="9"/>
        <rFont val="맑은 고딕"/>
        <family val="0"/>
        <charset val="1"/>
      </rPr>
      <t xml:space="preserve">.</t>
    </r>
  </si>
  <si>
    <t xml:space="preserve">W-4-2-3</t>
  </si>
  <si>
    <r>
      <rPr>
        <sz val="9"/>
        <rFont val="WenQuanYi Zen Hei"/>
        <family val="2"/>
      </rPr>
      <t xml:space="preserve">주어와 서술어의 호응 관계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내가 바라는 것은 </t>
    </r>
    <r>
      <rPr>
        <sz val="9"/>
        <rFont val="맑은 고딕"/>
        <family val="0"/>
        <charset val="1"/>
      </rPr>
      <t xml:space="preserve">~</t>
    </r>
    <r>
      <rPr>
        <sz val="9"/>
        <rFont val="WenQuanYi Zen Hei"/>
        <family val="2"/>
      </rPr>
      <t xml:space="preserve">이다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가 어긋나지 않도록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</si>
  <si>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호응이 맞지 않는 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내가 바라는 것은 우리 가족이 건강하다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</si>
  <si>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주어와 서술어의 호응이 맞게 고쳐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내가 바라는 것은 우리 가족이 건강한 것이다</t>
    </r>
    <r>
      <rPr>
        <sz val="9"/>
        <rFont val="맑은 고딕"/>
        <family val="0"/>
        <charset val="1"/>
      </rPr>
      <t xml:space="preserve">.</t>
    </r>
  </si>
  <si>
    <t xml:space="preserve">W-4-2-4</t>
  </si>
  <si>
    <r>
      <rPr>
        <sz val="9"/>
        <rFont val="WenQuanYi Zen Hei"/>
        <family val="2"/>
      </rPr>
      <t xml:space="preserve">주어진 문장에서 어법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이 틀린 부분을 찾아 고쳐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</si>
  <si>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어법이 틀린 문장을 보여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예</t>
    </r>
    <r>
      <rPr>
        <sz val="9"/>
        <rFont val="맑은 고딕"/>
        <family val="0"/>
        <charset val="1"/>
      </rPr>
      <t xml:space="preserve">: "</t>
    </r>
    <r>
      <rPr>
        <sz val="9"/>
        <rFont val="WenQuanYi Zen Hei"/>
        <family val="2"/>
      </rPr>
      <t xml:space="preserve">어제 내가 학교 가요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어제 친구를 만나서 같이 놀게요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</si>
  <si>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조사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어미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시제 등 틀린 부분을 고쳐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어제 나는 학교에 갔어요</t>
    </r>
    <r>
      <rPr>
        <sz val="9"/>
        <rFont val="맑은 고딕"/>
        <family val="0"/>
        <charset val="1"/>
      </rPr>
      <t xml:space="preserve">. / </t>
    </r>
    <r>
      <rPr>
        <sz val="9"/>
        <rFont val="WenQuanYi Zen Hei"/>
        <family val="2"/>
      </rPr>
      <t xml:space="preserve">어제 친구를 만나서 같이 놀았어요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</si>
  <si>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환경 보호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대해 자신의 입장을 정하고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근거를 덧붙여 글을 작성한다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</si>
  <si>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주제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환경 보호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에너지 절약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기후 위기 등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중 하나에 대해 자기 입장을 정하고 근거를 들어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</si>
  <si>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자기 입장과 근거를 담아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환경 보호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나는 일회용품을 줄여야 한다고 생각한다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첫째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일회용품은 한 번 쓰고 버리기 때문에 쓰레기가 많이 생긴다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둘째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플라스틱은 잘 썩지 않아서 자연을 오염시킨다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셋째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우리가 쓴 쓰레기는 결국 동물에게 피해를 준다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따라서 일회용품 대신 다회용 컵과 가방을 쓰자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</si>
  <si>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주장을 뒷받침하기 위해 신뢰할 수 있는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통계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혹은 객관적인 경험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근거로 든다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</si>
  <si>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자기 주장을 뒷받침할 자료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사실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통계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객관적 경험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찾아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</si>
  <si>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신뢰할 수 있는 자료를 글에 포함한다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환경부 자료에 따르면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우리나라 사람들이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년에 쓰는 일회용컵은 약 </t>
    </r>
    <r>
      <rPr>
        <sz val="9"/>
        <rFont val="맑은 고딕"/>
        <family val="0"/>
        <charset val="1"/>
      </rPr>
      <t xml:space="preserve">250</t>
    </r>
    <r>
      <rPr>
        <sz val="9"/>
        <rFont val="WenQuanYi Zen Hei"/>
        <family val="2"/>
      </rPr>
      <t xml:space="preserve">억 개라고 한다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 컵을 줄이면 쓰레기도 크게 줄어들 것이다</t>
    </r>
    <r>
      <rPr>
        <sz val="9"/>
        <rFont val="맑은 고딕"/>
        <family val="0"/>
        <charset val="1"/>
      </rPr>
      <t xml:space="preserve">." (</t>
    </r>
    <r>
      <rPr>
        <sz val="9"/>
        <rFont val="WenQuanYi Zen Hei"/>
        <family val="2"/>
      </rPr>
      <t xml:space="preserve">사실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통계</t>
    </r>
    <r>
      <rPr>
        <sz val="9"/>
        <rFont val="맑은 고딕"/>
        <family val="0"/>
        <charset val="1"/>
      </rPr>
      <t xml:space="preserve">) "</t>
    </r>
    <r>
      <rPr>
        <sz val="9"/>
        <rFont val="WenQuanYi Zen Hei"/>
        <family val="2"/>
      </rPr>
      <t xml:space="preserve">나는 학교에서 텀블러를 사용해 봤다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처음에는 불편했지만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한 달이 지나니 익숙해졌고 카페에서 할인도 받았다</t>
    </r>
    <r>
      <rPr>
        <sz val="9"/>
        <rFont val="맑은 고딕"/>
        <family val="0"/>
        <charset val="1"/>
      </rPr>
      <t xml:space="preserve">." (</t>
    </r>
    <r>
      <rPr>
        <sz val="9"/>
        <rFont val="WenQuanYi Zen Hei"/>
        <family val="2"/>
      </rPr>
      <t xml:space="preserve">객관적 경험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</si>
  <si>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마음을 전하는 글을 형식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받는 사람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첫인사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끝인사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쓴 사람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맞추어 작성한다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</si>
  <si>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친구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가족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선생님께 마음을 전하는 글을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</si>
  <si>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받는 사람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첫인사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본문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끝인사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쓴 사람 형식에 맞춰 작성한다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받는 사람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선생님께 첫인사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선생님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안녕하세요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저는 </t>
    </r>
    <r>
      <rPr>
        <sz val="9"/>
        <rFont val="맑은 고딕"/>
        <family val="0"/>
        <charset val="1"/>
      </rPr>
      <t xml:space="preserve">6</t>
    </r>
    <r>
      <rPr>
        <sz val="9"/>
        <rFont val="WenQuanYi Zen Hei"/>
        <family val="2"/>
      </rPr>
      <t xml:space="preserve">학년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반 박지은입니다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본문</t>
    </r>
    <r>
      <rPr>
        <sz val="9"/>
        <rFont val="맑은 고딕"/>
        <family val="0"/>
        <charset val="1"/>
      </rPr>
      <t xml:space="preserve">: 1</t>
    </r>
    <r>
      <rPr>
        <sz val="9"/>
        <rFont val="WenQuanYi Zen Hei"/>
        <family val="2"/>
      </rPr>
      <t xml:space="preserve">년 동안 저희를 잘 가르쳐 주셔서 정말 감사합니다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한국어를 처음 배울 때 많이 도와주신 덕분에 이제는 친구들과도 잘 이야기할 수 있게 되었습니다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선생님 덕분에 학교생활이 즐거웠습니다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끝인사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늘 건강하시고 행복하세요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쓴 사람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지은이 올림</t>
    </r>
  </si>
  <si>
    <r>
      <rPr>
        <sz val="9"/>
        <rFont val="WenQuanYi Zen Hei"/>
        <family val="2"/>
      </rPr>
      <t xml:space="preserve">공식적인 글쓰기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보고서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 안내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선거 연설문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를 형식과 격식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제목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인사말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본문 서술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맺음말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맞추어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</si>
  <si>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공식적인 글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보고서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행사 안내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선거 연설문 중 하나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형식을 보여주고 쓰게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</si>
  <si>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형식과 격식에 맞춰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 — 행사 안내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제목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우리 반 학예회 안내 인사말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안녕하십니까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우리 학교 학생들에게 안내드립니다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본문</t>
    </r>
    <r>
      <rPr>
        <sz val="9"/>
        <rFont val="맑은 고딕"/>
        <family val="0"/>
        <charset val="1"/>
      </rPr>
      <t xml:space="preserve">: 5</t>
    </r>
    <r>
      <rPr>
        <sz val="9"/>
        <rFont val="WenQuanYi Zen Hei"/>
        <family val="2"/>
      </rPr>
      <t xml:space="preserve">월 </t>
    </r>
    <r>
      <rPr>
        <sz val="9"/>
        <rFont val="맑은 고딕"/>
        <family val="0"/>
        <charset val="1"/>
      </rPr>
      <t xml:space="preserve">15</t>
    </r>
    <r>
      <rPr>
        <sz val="9"/>
        <rFont val="WenQuanYi Zen Hei"/>
        <family val="2"/>
      </rPr>
      <t xml:space="preserve">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오후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시부터 학교 강당에서 우리 반 학예회를 개최합니다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노래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춤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연극 등 다양한 공연이 준비되어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따뜻한 응원 부탁드립니다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맺음말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많은 참여를 부탁드립니다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감사합니다</t>
    </r>
    <r>
      <rPr>
        <sz val="9"/>
        <rFont val="맑은 고딕"/>
        <family val="0"/>
        <charset val="1"/>
      </rPr>
      <t xml:space="preserve">.</t>
    </r>
  </si>
  <si>
    <t xml:space="preserve">W-4-4-3</t>
  </si>
  <si>
    <r>
      <rPr>
        <sz val="9"/>
        <rFont val="WenQuanYi Zen Hei"/>
        <family val="2"/>
      </rPr>
      <t xml:space="preserve">온라인 공간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학교 홈페이지나 학급 밴드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에 올릴 게시글을 쓸 때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매체의 특성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인터넷 예절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사진 첨부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고려하여 적절한 형식과 언어로 쓴다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</si>
  <si>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학교 홈페이지나 학급 밴드에 게시글을 써 보세요</t>
    </r>
    <r>
      <rPr>
        <sz val="9"/>
        <rFont val="맑은 고딕"/>
        <family val="0"/>
        <charset val="1"/>
      </rPr>
      <t xml:space="preserve">."</t>
    </r>
    <r>
      <rPr>
        <sz val="9"/>
        <rFont val="WenQuanYi Zen Hei"/>
        <family val="2"/>
      </rPr>
      <t xml:space="preserve">라고 한다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</si>
  <si>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인터넷 예절을 지키고 필요한 경우 사진 첨부를 안내하는 글을 쓴다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학생 작성 예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제목</t>
    </r>
    <r>
      <rPr>
        <sz val="9"/>
        <rFont val="맑은 고딕"/>
        <family val="0"/>
        <charset val="1"/>
      </rPr>
      <t xml:space="preserve">: 5</t>
    </r>
    <r>
      <rPr>
        <sz val="9"/>
        <rFont val="WenQuanYi Zen Hei"/>
        <family val="2"/>
      </rPr>
      <t xml:space="preserve">월 학급 미술 작품 안내 안녕하세요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저는 미술부장 </t>
    </r>
    <r>
      <rPr>
        <sz val="9"/>
        <rFont val="맑은 고딕"/>
        <family val="0"/>
        <charset val="1"/>
      </rPr>
      <t xml:space="preserve">OOO</t>
    </r>
    <r>
      <rPr>
        <sz val="9"/>
        <rFont val="WenQuanYi Zen Hei"/>
        <family val="2"/>
      </rPr>
      <t xml:space="preserve">입니다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이번 </t>
    </r>
    <r>
      <rPr>
        <sz val="9"/>
        <rFont val="맑은 고딕"/>
        <family val="0"/>
        <charset val="1"/>
      </rPr>
      <t xml:space="preserve">5</t>
    </r>
    <r>
      <rPr>
        <sz val="9"/>
        <rFont val="WenQuanYi Zen Hei"/>
        <family val="2"/>
      </rPr>
      <t xml:space="preserve">월 미술 시간에 학생들이 만든 작품 사진을 올립니다</t>
    </r>
    <r>
      <rPr>
        <sz val="9"/>
        <rFont val="맑은 고딕"/>
        <family val="0"/>
        <charset val="1"/>
      </rPr>
      <t xml:space="preserve">. (</t>
    </r>
    <r>
      <rPr>
        <sz val="9"/>
        <rFont val="WenQuanYi Zen Hei"/>
        <family val="2"/>
      </rPr>
      <t xml:space="preserve">사진 첨부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모든 친구가 정성껏 만든 작품이니 따뜻한 응원 부탁드립니다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댓글로 격려의 말씀 남겨 주시면 학생들에게 큰 힘이 됩니다</t>
    </r>
    <r>
      <rPr>
        <sz val="9"/>
        <rFont val="맑은 고딕"/>
        <family val="0"/>
        <charset val="1"/>
      </rPr>
      <t xml:space="preserve">. - </t>
    </r>
    <r>
      <rPr>
        <sz val="9"/>
        <rFont val="WenQuanYi Zen Hei"/>
        <family val="2"/>
      </rPr>
      <t xml:space="preserve">인터넷 예절</t>
    </r>
    <r>
      <rPr>
        <sz val="9"/>
        <rFont val="맑은 고딕"/>
        <family val="0"/>
        <charset val="1"/>
      </rPr>
      <t xml:space="preserve">: </t>
    </r>
    <r>
      <rPr>
        <sz val="9"/>
        <rFont val="WenQuanYi Zen Hei"/>
        <family val="2"/>
      </rPr>
      <t xml:space="preserve">친구의 작품에 대해 부정적인 댓글은 쓰지 말아 주세요</t>
    </r>
    <r>
      <rPr>
        <sz val="9"/>
        <rFont val="맑은 고딕"/>
        <family val="0"/>
        <charset val="1"/>
      </rPr>
      <t xml:space="preserve">.</t>
    </r>
  </si>
  <si>
    <t xml:space="preserve">번호</t>
  </si>
  <si>
    <t xml:space="preserve">구분</t>
  </si>
  <si>
    <t xml:space="preserve">파일</t>
  </si>
  <si>
    <r>
      <rPr>
        <b val="true"/>
        <sz val="10"/>
        <color rgb="FFFFFFFF"/>
        <rFont val="WenQuanYi Zen Hei"/>
        <family val="2"/>
      </rPr>
      <t xml:space="preserve">위치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코드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</si>
  <si>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제안</t>
  </si>
  <si>
    <t xml:space="preserve">처리</t>
  </si>
  <si>
    <t xml:space="preserve">성취수준 번호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</si>
  <si>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 </t>
    </r>
    <r>
      <rPr>
        <sz val="9"/>
        <rFont val="WenQuanYi Zen Hei"/>
        <family val="2"/>
      </rPr>
      <t xml:space="preserve">읽기</t>
    </r>
  </si>
  <si>
    <t xml:space="preserve">R-2-3-1~2, R-2-4-1~2</t>
  </si>
  <si>
    <r>
      <rPr>
        <sz val="9"/>
        <rFont val="WenQuanYi Zen Hei"/>
        <family val="2"/>
      </rPr>
      <t xml:space="preserve">머리말이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2"</t>
    </r>
    <r>
      <rPr>
        <sz val="9"/>
        <rFont val="WenQuanYi Zen Hei"/>
        <family val="2"/>
      </rPr>
      <t xml:space="preserve">로 표기됨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코드상 성취수준 </t>
    </r>
    <r>
      <rPr>
        <sz val="9"/>
        <rFont val="맑은 고딕"/>
        <family val="0"/>
        <charset val="1"/>
      </rPr>
      <t xml:space="preserve">3·4)</t>
    </r>
  </si>
  <si>
    <t xml:space="preserve">머리말 번호를 코드에 맞게 수정</t>
  </si>
  <si>
    <r>
      <rPr>
        <sz val="9"/>
        <rFont val="맑은 고딕"/>
        <family val="0"/>
        <charset val="1"/>
      </rPr>
      <t xml:space="preserve">R-3-1 ~ R-3-4 (R-3-3 </t>
    </r>
    <r>
      <rPr>
        <sz val="9"/>
        <rFont val="WenQuanYi Zen Hei"/>
        <family val="2"/>
      </rPr>
      <t xml:space="preserve">제외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</si>
  <si>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머리말이 모두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3"</t>
    </r>
    <r>
      <rPr>
        <sz val="9"/>
        <rFont val="WenQuanYi Zen Hei"/>
        <family val="2"/>
      </rPr>
      <t xml:space="preserve">으로 표기됨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수준 번호를 쓴 것으로 보임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</si>
  <si>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1·2·4</t>
    </r>
    <r>
      <rPr>
        <sz val="9"/>
        <rFont val="WenQuanYi Zen Hei"/>
        <family val="2"/>
      </rPr>
      <t xml:space="preserve">로 수정</t>
    </r>
  </si>
  <si>
    <t xml:space="preserve">R-4-1 ~ R-4-3</t>
  </si>
  <si>
    <r>
      <rPr>
        <sz val="9"/>
        <rFont val="WenQuanYi Zen Hei"/>
        <family val="2"/>
      </rPr>
      <t xml:space="preserve">머리말이 모두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4"</t>
    </r>
    <r>
      <rPr>
        <sz val="9"/>
        <rFont val="WenQuanYi Zen Hei"/>
        <family val="2"/>
      </rPr>
      <t xml:space="preserve">로 표기됨</t>
    </r>
  </si>
  <si>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1·2·3</t>
    </r>
    <r>
      <rPr>
        <sz val="9"/>
        <rFont val="WenQuanYi Zen Hei"/>
        <family val="2"/>
      </rPr>
      <t xml:space="preserve">으로 수정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</si>
  <si>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 </t>
    </r>
    <r>
      <rPr>
        <sz val="9"/>
        <rFont val="WenQuanYi Zen Hei"/>
        <family val="2"/>
      </rPr>
      <t xml:space="preserve">말하기</t>
    </r>
  </si>
  <si>
    <r>
      <rPr>
        <sz val="9"/>
        <rFont val="WenQuanYi Zen Hei"/>
        <family val="2"/>
      </rPr>
      <t xml:space="preserve">머리말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1"(</t>
    </r>
    <r>
      <rPr>
        <sz val="9"/>
        <rFont val="WenQuanYi Zen Hei"/>
        <family val="2"/>
      </rPr>
      <t xml:space="preserve">코드상 </t>
    </r>
    <r>
      <rPr>
        <sz val="9"/>
        <rFont val="맑은 고딕"/>
        <family val="0"/>
        <charset val="1"/>
      </rPr>
      <t xml:space="preserve">2). S-3-2-2·3</t>
    </r>
    <r>
      <rPr>
        <sz val="9"/>
        <rFont val="WenQuanYi Zen Hei"/>
        <family val="2"/>
      </rPr>
      <t xml:space="preserve">은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2"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</si>
  <si>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2"</t>
    </r>
    <r>
      <rPr>
        <sz val="9"/>
        <rFont val="WenQuanYi Zen Hei"/>
        <family val="2"/>
      </rPr>
      <t xml:space="preserve">로 수정</t>
    </r>
  </si>
  <si>
    <t xml:space="preserve">문항 번호</t>
  </si>
  <si>
    <t xml:space="preserve">S-2-1-2, S-2-1-3</t>
  </si>
  <si>
    <r>
      <rPr>
        <sz val="9"/>
        <rFont val="WenQuanYi Zen Hei"/>
        <family val="2"/>
      </rPr>
      <t xml:space="preserve">표 머리의 문항 번호가 </t>
    </r>
    <r>
      <rPr>
        <sz val="9"/>
        <rFont val="맑은 고딕"/>
        <family val="0"/>
        <charset val="1"/>
      </rPr>
      <t xml:space="preserve">"1</t>
    </r>
    <r>
      <rPr>
        <sz val="9"/>
        <rFont val="WenQuanYi Zen Hei"/>
        <family val="2"/>
      </rPr>
      <t xml:space="preserve">번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으로 표기됨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코드상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번</t>
    </r>
    <r>
      <rPr>
        <sz val="9"/>
        <rFont val="맑은 고딕"/>
        <family val="0"/>
        <charset val="1"/>
      </rPr>
      <t xml:space="preserve">·3</t>
    </r>
    <r>
      <rPr>
        <sz val="9"/>
        <rFont val="WenQuanYi Zen Hei"/>
        <family val="2"/>
      </rPr>
      <t xml:space="preserve">번</t>
    </r>
    <r>
      <rPr>
        <sz val="9"/>
        <rFont val="맑은 고딕"/>
        <family val="0"/>
        <charset val="1"/>
      </rPr>
      <t xml:space="preserve">)</t>
    </r>
  </si>
  <si>
    <t xml:space="preserve">문항 번호 수정</t>
  </si>
  <si>
    <t xml:space="preserve">머리말 누락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</si>
  <si>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 </t>
    </r>
    <r>
      <rPr>
        <sz val="9"/>
        <rFont val="WenQuanYi Zen Hei"/>
        <family val="2"/>
      </rPr>
      <t xml:space="preserve">쓰기</t>
    </r>
  </si>
  <si>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4 </t>
    </r>
    <r>
      <rPr>
        <sz val="9"/>
        <rFont val="WenQuanYi Zen Hei"/>
        <family val="2"/>
      </rPr>
      <t xml:space="preserve">머리말이 없고 앞 성취수준 </t>
    </r>
    <r>
      <rPr>
        <sz val="9"/>
        <rFont val="맑은 고딕"/>
        <family val="0"/>
        <charset val="1"/>
      </rPr>
      <t xml:space="preserve">3 </t>
    </r>
    <r>
      <rPr>
        <sz val="9"/>
        <rFont val="WenQuanYi Zen Hei"/>
        <family val="2"/>
      </rPr>
      <t xml:space="preserve">문장이 그대로 들어감</t>
    </r>
  </si>
  <si>
    <r>
      <rPr>
        <sz val="9"/>
        <rFont val="맑은 고딕"/>
        <family val="0"/>
        <charset val="1"/>
      </rPr>
      <t xml:space="preserve">"4. </t>
    </r>
    <r>
      <rPr>
        <sz val="9"/>
        <rFont val="WenQuanYi Zen Hei"/>
        <family val="2"/>
      </rPr>
      <t xml:space="preserve">단순한 시각 자료를 보고 해당하는 단어를 쓸 수 있다</t>
    </r>
    <r>
      <rPr>
        <sz val="9"/>
        <rFont val="맑은 고딕"/>
        <family val="0"/>
        <charset val="1"/>
      </rPr>
      <t xml:space="preserve">." </t>
    </r>
    <r>
      <rPr>
        <sz val="9"/>
        <rFont val="WenQuanYi Zen Hei"/>
        <family val="2"/>
      </rPr>
      <t xml:space="preserve">넣기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</si>
  <si>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 </t>
    </r>
    <r>
      <rPr>
        <sz val="9"/>
        <rFont val="WenQuanYi Zen Hei"/>
        <family val="2"/>
      </rPr>
      <t xml:space="preserve">말하기</t>
    </r>
  </si>
  <si>
    <r>
      <rPr>
        <sz val="9"/>
        <rFont val="WenQuanYi Zen Hei"/>
        <family val="2"/>
      </rPr>
      <t xml:space="preserve">머리말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2"(</t>
    </r>
    <r>
      <rPr>
        <sz val="9"/>
        <rFont val="WenQuanYi Zen Hei"/>
        <family val="2"/>
      </rPr>
      <t xml:space="preserve">코드상 </t>
    </r>
    <r>
      <rPr>
        <sz val="9"/>
        <rFont val="맑은 고딕"/>
        <family val="0"/>
        <charset val="1"/>
      </rPr>
      <t xml:space="preserve">3)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</si>
  <si>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성취수준 </t>
    </r>
    <r>
      <rPr>
        <sz val="9"/>
        <rFont val="맑은 고딕"/>
        <family val="0"/>
        <charset val="1"/>
      </rPr>
      <t xml:space="preserve">3"</t>
    </r>
    <r>
      <rPr>
        <sz val="9"/>
        <rFont val="WenQuanYi Zen Hei"/>
        <family val="2"/>
      </rPr>
      <t xml:space="preserve">으로 수정</t>
    </r>
  </si>
  <si>
    <t xml:space="preserve">임시 문구</t>
  </si>
  <si>
    <r>
      <rPr>
        <sz val="9"/>
        <rFont val="WenQuanYi Zen Hei"/>
        <family val="2"/>
      </rPr>
      <t xml:space="preserve">머리말이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성취수준 기술문</t>
    </r>
    <r>
      <rPr>
        <sz val="9"/>
        <rFont val="맑은 고딕"/>
        <family val="0"/>
        <charset val="1"/>
      </rPr>
      <t xml:space="preserve">"(</t>
    </r>
    <r>
      <rPr>
        <sz val="9"/>
        <rFont val="WenQuanYi Zen Hei"/>
        <family val="2"/>
      </rPr>
      <t xml:space="preserve">임시 문구</t>
    </r>
    <r>
      <rPr>
        <sz val="9"/>
        <rFont val="맑은 고딕"/>
        <family val="0"/>
        <charset val="1"/>
      </rPr>
      <t xml:space="preserve">). </t>
    </r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학생 절차 없음</t>
    </r>
  </si>
  <si>
    <t xml:space="preserve">성취수준 문장과 진단 절차 보완</t>
  </si>
  <si>
    <r>
      <rPr>
        <sz val="9"/>
        <rFont val="WenQuanYi Zen Hei"/>
        <family val="2"/>
      </rPr>
      <t xml:space="preserve">절차 누락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추출 기준</t>
    </r>
    <r>
      <rPr>
        <sz val="9"/>
        <rFont val="맑은 고딕"/>
        <family val="0"/>
        <charset val="1"/>
      </rPr>
      <t xml:space="preserve">)</t>
    </r>
  </si>
  <si>
    <t xml:space="preserve">R-3-4-2, R-4-1-1, R-4-1-3</t>
  </si>
  <si>
    <r>
      <rPr>
        <sz val="9"/>
        <rFont val="WenQuanYi Zen Hei"/>
        <family val="2"/>
      </rPr>
      <t xml:space="preserve">교사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학생 절차 텍스트가 추출되지 않음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이미지이거나 누락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</si>
  <si>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원본 </t>
    </r>
    <r>
      <rPr>
        <sz val="9"/>
        <rFont val="맑은 고딕"/>
        <family val="0"/>
        <charset val="1"/>
      </rPr>
      <t xml:space="preserve">PDF</t>
    </r>
    <r>
      <rPr>
        <sz val="9"/>
        <rFont val="WenQuanYi Zen Hei"/>
        <family val="2"/>
      </rPr>
      <t xml:space="preserve">에서 확인</t>
    </r>
  </si>
  <si>
    <t xml:space="preserve">맞춤법</t>
  </si>
  <si>
    <r>
      <rPr>
        <sz val="9"/>
        <rFont val="WenQuanYi Zen Hei"/>
        <family val="2"/>
      </rPr>
      <t xml:space="preserve">몇 살이예요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</si>
  <si>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몇 살이에요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</si>
  <si>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이것은 내 가방이예요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</si>
  <si>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가방이에요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</si>
  <si>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 </t>
    </r>
    <r>
      <rPr>
        <sz val="9"/>
        <rFont val="WenQuanYi Zen Hei"/>
        <family val="2"/>
      </rPr>
      <t xml:space="preserve">듣기</t>
    </r>
  </si>
  <si>
    <r>
      <rPr>
        <sz val="9"/>
        <rFont val="WenQuanYi Zen Hei"/>
        <family val="2"/>
      </rPr>
      <t xml:space="preserve">무슨 요일이예요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</si>
  <si>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요일이에요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</si>
  <si>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 </t>
    </r>
    <r>
      <rPr>
        <sz val="9"/>
        <rFont val="WenQuanYi Zen Hei"/>
        <family val="2"/>
      </rPr>
      <t xml:space="preserve">말하기</t>
    </r>
  </si>
  <si>
    <r>
      <rPr>
        <sz val="9"/>
        <rFont val="WenQuanYi Zen Hei"/>
        <family val="2"/>
      </rPr>
      <t xml:space="preserve">오늘은 몇일이에요</t>
    </r>
    <r>
      <rPr>
        <sz val="9"/>
        <rFont val="맑은 고딕"/>
        <family val="0"/>
        <charset val="1"/>
      </rPr>
      <t xml:space="preserve">? </t>
    </r>
    <r>
      <rPr>
        <sz val="9"/>
        <rFont val="WenQuanYi Zen Hei"/>
        <family val="2"/>
      </rPr>
      <t xml:space="preserve">지금 몇 시에요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</si>
  <si>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며칠이에요</t>
    </r>
    <r>
      <rPr>
        <sz val="9"/>
        <rFont val="맑은 고딕"/>
        <family val="0"/>
        <charset val="1"/>
      </rPr>
      <t xml:space="preserve">? / </t>
    </r>
    <r>
      <rPr>
        <sz val="9"/>
        <rFont val="WenQuanYi Zen Hei"/>
        <family val="2"/>
      </rPr>
      <t xml:space="preserve">몇 시예요</t>
    </r>
    <r>
      <rPr>
        <sz val="9"/>
        <rFont val="맑은 고딕"/>
        <family val="0"/>
        <charset val="1"/>
      </rPr>
      <t xml:space="preserve">?</t>
    </r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</si>
  <si>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 </t>
    </r>
    <r>
      <rPr>
        <sz val="9"/>
        <rFont val="WenQuanYi Zen Hei"/>
        <family val="2"/>
      </rPr>
      <t xml:space="preserve">듣기</t>
    </r>
  </si>
  <si>
    <r>
      <rPr>
        <sz val="9"/>
        <rFont val="맑은 고딕"/>
        <family val="0"/>
        <charset val="1"/>
      </rPr>
      <t xml:space="preserve">L-3-1-2 </t>
    </r>
    <r>
      <rPr>
        <sz val="9"/>
        <rFont val="WenQuanYi Zen Hei"/>
        <family val="2"/>
      </rPr>
      <t xml:space="preserve">학생 수행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</si>
  <si>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태권도를 배우는 내용이예요</t>
    </r>
    <r>
      <rPr>
        <sz val="9"/>
        <rFont val="맑은 고딕"/>
        <family val="0"/>
        <charset val="1"/>
      </rPr>
      <t xml:space="preserve">."</t>
    </r>
  </si>
  <si>
    <r>
      <rPr>
        <sz val="9"/>
        <rFont val="WenQuanYi Zen Hei"/>
        <family val="2"/>
      </rPr>
      <t xml:space="preserve">내용이에요</t>
    </r>
    <r>
      <rPr>
        <sz val="9"/>
        <rFont val="맑은 고딕"/>
        <family val="0"/>
        <charset val="1"/>
      </rPr>
      <t xml:space="preserve">.</t>
    </r>
  </si>
  <si>
    <t xml:space="preserve">양식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</si>
  <si>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 </t>
    </r>
    <r>
      <rPr>
        <sz val="9"/>
        <rFont val="WenQuanYi Zen Hei"/>
        <family val="2"/>
      </rPr>
      <t xml:space="preserve">듣기</t>
    </r>
  </si>
  <si>
    <t xml:space="preserve">L-3-1-2, L-3-1-3, L-3-2-1</t>
  </si>
  <si>
    <r>
      <rPr>
        <sz val="9"/>
        <rFont val="WenQuanYi Zen Hei"/>
        <family val="2"/>
      </rPr>
      <t xml:space="preserve">판정란 미도달 표시가 </t>
    </r>
    <r>
      <rPr>
        <sz val="9"/>
        <rFont val="맑은 고딕"/>
        <family val="0"/>
        <charset val="1"/>
      </rPr>
      <t xml:space="preserve">"✗"(</t>
    </r>
    <r>
      <rPr>
        <sz val="9"/>
        <rFont val="WenQuanYi Zen Hei"/>
        <family val="2"/>
      </rPr>
      <t xml:space="preserve">다른 문항은 </t>
    </r>
    <r>
      <rPr>
        <sz val="9"/>
        <rFont val="맑은 고딕"/>
        <family val="0"/>
        <charset val="1"/>
      </rPr>
      <t xml:space="preserve">"✓")</t>
    </r>
  </si>
  <si>
    <t xml:space="preserve">표기 통일</t>
  </si>
  <si>
    <t xml:space="preserve">참고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</si>
  <si>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1~2·</t>
    </r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3~4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</si>
  <si>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수준 듣기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말하기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읽기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쓰기</t>
    </r>
  </si>
  <si>
    <r>
      <rPr>
        <sz val="9"/>
        <rFont val="WenQuanYi Zen Hei"/>
        <family val="2"/>
      </rPr>
      <t xml:space="preserve">두 학년군의 </t>
    </r>
    <r>
      <rPr>
        <sz val="9"/>
        <rFont val="맑은 고딕"/>
        <family val="0"/>
        <charset val="1"/>
      </rPr>
      <t xml:space="preserve">1</t>
    </r>
    <r>
      <rPr>
        <sz val="9"/>
        <rFont val="WenQuanYi Zen Hei"/>
        <family val="2"/>
      </rPr>
      <t xml:space="preserve">수준 문항이 대부분 같은 문장</t>
    </r>
  </si>
  <si>
    <t xml:space="preserve">콘텐츠 공통 제작 검토</t>
  </si>
  <si>
    <r>
      <rPr>
        <sz val="9"/>
        <color rgb="FF595959"/>
        <rFont val="맑은 고딕"/>
        <family val="0"/>
        <charset val="1"/>
      </rPr>
      <t xml:space="preserve">※ PDF </t>
    </r>
    <r>
      <rPr>
        <sz val="9"/>
        <color rgb="FF595959"/>
        <rFont val="WenQuanYi Zen Hei"/>
        <family val="2"/>
      </rPr>
      <t xml:space="preserve">텍스트를 자동 추출해 대조한 결과입니다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원본에서 한 번 더 확인해 주세요</t>
    </r>
    <r>
      <rPr>
        <sz val="9"/>
        <color rgb="FF595959"/>
        <rFont val="맑은 고딕"/>
        <family val="0"/>
        <charset val="1"/>
      </rPr>
      <t xml:space="preserve">.</t>
    </r>
  </si>
  <si>
    <t xml:space="preserve">항목</t>
  </si>
  <si>
    <r>
      <rPr>
        <b val="true"/>
        <sz val="10"/>
        <color rgb="FFFFFFFF"/>
        <rFont val="WenQuanYi Zen Hei"/>
        <family val="2"/>
      </rPr>
      <t xml:space="preserve">비고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듣기</t>
    </r>
    <r>
      <rPr>
        <b val="true"/>
        <sz val="10"/>
        <color rgb="FFFFFFFF"/>
        <rFont val="맑은 고딕"/>
        <family val="0"/>
        <charset val="1"/>
      </rPr>
      <t xml:space="preserve">06 </t>
    </r>
    <r>
      <rPr>
        <b val="true"/>
        <sz val="10"/>
        <color rgb="FFFFFFFF"/>
        <rFont val="WenQuanYi Zen Hei"/>
        <family val="2"/>
      </rPr>
      <t xml:space="preserve">경험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</si>
  <si>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확인</t>
  </si>
  <si>
    <t xml:space="preserve">원고</t>
  </si>
  <si>
    <t xml:space="preserve">차시 명세서 표준화</t>
  </si>
  <si>
    <r>
      <rPr>
        <sz val="9"/>
        <rFont val="WenQuanYi Zen Hei"/>
        <family val="2"/>
      </rPr>
      <t xml:space="preserve">차시마다 진단 코드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학습 목표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활동별 발문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대본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보기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정답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피드백 문구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사용 이미지를 같은 양식으로 작성</t>
    </r>
  </si>
  <si>
    <r>
      <rPr>
        <sz val="9"/>
        <rFont val="맑은 고딕"/>
        <family val="0"/>
        <charset val="1"/>
      </rPr>
      <t xml:space="preserve">claude_prompt.md</t>
    </r>
    <r>
      <rPr>
        <sz val="9"/>
        <rFont val="WenQuanYi Zen Hei"/>
        <family val="2"/>
      </rPr>
      <t xml:space="preserve">가 사실상 명세서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표 한 줄 </t>
    </r>
    <r>
      <rPr>
        <sz val="9"/>
        <rFont val="맑은 고딕"/>
        <family val="0"/>
        <charset val="1"/>
      </rPr>
      <t xml:space="preserve">= 1</t>
    </r>
    <r>
      <rPr>
        <sz val="9"/>
        <rFont val="WenQuanYi Zen Hei"/>
        <family val="2"/>
      </rPr>
      <t xml:space="preserve">차시로 정리하면 대량 제작 가능</t>
    </r>
  </si>
  <si>
    <t xml:space="preserve">듣기 대본 검수</t>
  </si>
  <si>
    <r>
      <rPr>
        <sz val="9"/>
        <rFont val="WenQuanYi Zen Hei"/>
        <family val="2"/>
      </rPr>
      <t xml:space="preserve">숫자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단위가 들어간 문장은 화면 표기와 읽기 문장을 따로 지정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</si>
  <si>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교과서 </t>
    </r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쪽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을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열 쪽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으로 읽은 문제 →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십 쪽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으로 따로 지정해 해결</t>
    </r>
  </si>
  <si>
    <t xml:space="preserve">피드백 문구 톤</t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</si>
  <si>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틀려도 괜찮아요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톤 유지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안내문의 </t>
    </r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시험이 아니다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원칙과 맞춤</t>
    </r>
  </si>
  <si>
    <t xml:space="preserve">템플릿</t>
  </si>
  <si>
    <t xml:space="preserve">공통 화면 구조</t>
  </si>
  <si>
    <r>
      <rPr>
        <sz val="9"/>
        <rFont val="WenQuanYi Zen Hei"/>
        <family val="2"/>
      </rPr>
      <t xml:space="preserve">도입 → 목표 → 활동 안내 → 활동 </t>
    </r>
    <r>
      <rPr>
        <sz val="9"/>
        <rFont val="맑은 고딕"/>
        <family val="0"/>
        <charset val="1"/>
      </rPr>
      <t xml:space="preserve">1~4 → </t>
    </r>
    <r>
      <rPr>
        <sz val="9"/>
        <rFont val="WenQuanYi Zen Hei"/>
        <family val="2"/>
      </rPr>
      <t xml:space="preserve">마무리</t>
    </r>
    <r>
      <rPr>
        <sz val="9"/>
        <rFont val="맑은 고딕"/>
        <family val="0"/>
        <charset val="1"/>
      </rPr>
      <t xml:space="preserve">. 1600×900 </t>
    </r>
    <r>
      <rPr>
        <sz val="9"/>
        <rFont val="WenQuanYi Zen Hei"/>
        <family val="2"/>
      </rPr>
      <t xml:space="preserve">기준 화면 비율 맞춤</t>
    </r>
  </si>
  <si>
    <r>
      <rPr>
        <sz val="9"/>
        <rFont val="WenQuanYi Zen Hei"/>
        <family val="2"/>
      </rPr>
      <t xml:space="preserve">현재 듣기</t>
    </r>
    <r>
      <rPr>
        <sz val="9"/>
        <rFont val="맑은 고딕"/>
        <family val="0"/>
        <charset val="1"/>
      </rPr>
      <t xml:space="preserve">06 </t>
    </r>
    <r>
      <rPr>
        <sz val="9"/>
        <rFont val="WenQuanYi Zen Hei"/>
        <family val="2"/>
      </rPr>
      <t xml:space="preserve">디자인을 템플릿으로 고정하고 내용 데이터만 교체</t>
    </r>
  </si>
  <si>
    <t xml:space="preserve">활동 유형 모음</t>
  </si>
  <si>
    <r>
      <rPr>
        <sz val="9"/>
        <rFont val="WenQuanYi Zen Hei"/>
        <family val="2"/>
      </rPr>
      <t xml:space="preserve">고르기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여러 개 고르기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순서 놓기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선 잇기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표시하기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따라 쓰기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카드 조합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녹음 비교</t>
    </r>
  </si>
  <si>
    <r>
      <rPr>
        <sz val="9"/>
        <rFont val="WenQuanYi Zen Hei"/>
        <family val="2"/>
      </rPr>
      <t xml:space="preserve">진단 수행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가리키기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배열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연결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을 화면 활동으로 옮김</t>
    </r>
  </si>
  <si>
    <r>
      <rPr>
        <b val="true"/>
        <sz val="9"/>
        <rFont val="WenQuanYi Zen Hei"/>
        <family val="2"/>
      </rPr>
      <t xml:space="preserve">정답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WenQuanYi Zen Hei"/>
        <family val="2"/>
      </rPr>
      <t xml:space="preserve">오답 피드백</t>
    </r>
  </si>
  <si>
    <r>
      <rPr>
        <sz val="9"/>
        <rFont val="WenQuanYi Zen Hei"/>
        <family val="2"/>
      </rPr>
      <t xml:space="preserve">화면 가운데 큰 팝업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정답일 때만 다음으로 이동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</si>
  <si>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06</t>
    </r>
    <r>
      <rPr>
        <sz val="9"/>
        <rFont val="WenQuanYi Zen Hei"/>
        <family val="2"/>
      </rPr>
      <t xml:space="preserve">에서 적용함</t>
    </r>
  </si>
  <si>
    <t xml:space="preserve">음성</t>
  </si>
  <si>
    <t xml:space="preserve">음성 방식 결정</t>
  </si>
  <si>
    <r>
      <rPr>
        <sz val="9"/>
        <rFont val="WenQuanYi Zen Hei"/>
        <family val="2"/>
      </rPr>
      <t xml:space="preserve">브라우저 음성 합성은 기기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브라우저마다 목소리와 발음이 다름</t>
    </r>
    <r>
      <rPr>
        <sz val="9"/>
        <rFont val="맑은 고딕"/>
        <family val="0"/>
        <charset val="1"/>
      </rPr>
      <t xml:space="preserve">. </t>
    </r>
    <r>
      <rPr>
        <sz val="9"/>
        <rFont val="WenQuanYi Zen Hei"/>
        <family val="2"/>
      </rPr>
      <t xml:space="preserve">대화문은 </t>
    </r>
    <r>
      <rPr>
        <sz val="9"/>
        <rFont val="맑은 고딕"/>
        <family val="0"/>
        <charset val="1"/>
      </rPr>
      <t xml:space="preserve">2</t>
    </r>
    <r>
      <rPr>
        <sz val="9"/>
        <rFont val="WenQuanYi Zen Hei"/>
        <family val="2"/>
      </rPr>
      <t xml:space="preserve">인 이상 화자 필요</t>
    </r>
  </si>
  <si>
    <r>
      <rPr>
        <sz val="9"/>
        <rFont val="WenQuanYi Zen Hei"/>
        <family val="2"/>
      </rPr>
      <t xml:space="preserve">녹음 파일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성우 또는 음성 생성 후 파일 포함</t>
    </r>
    <r>
      <rPr>
        <sz val="9"/>
        <rFont val="맑은 고딕"/>
        <family val="0"/>
        <charset val="1"/>
      </rPr>
      <t xml:space="preserve">) </t>
    </r>
    <r>
      <rPr>
        <sz val="9"/>
        <rFont val="WenQuanYi Zen Hei"/>
        <family val="2"/>
      </rPr>
      <t xml:space="preserve">전환 검토</t>
    </r>
  </si>
  <si>
    <t xml:space="preserve">말하기 녹음</t>
  </si>
  <si>
    <r>
      <rPr>
        <sz val="9"/>
        <rFont val="WenQuanYi Zen Hei"/>
        <family val="2"/>
      </rPr>
      <t xml:space="preserve">브라우저 음성 인식은 크롬 전용이고 아동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비원어민 인식률이 낮음 → 녹음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다시 듣기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모범 발음 비교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판정은 교사</t>
    </r>
  </si>
  <si>
    <r>
      <rPr>
        <sz val="9"/>
        <rFont val="WenQuanYi Zen Hei"/>
        <family val="2"/>
      </rPr>
      <t xml:space="preserve">아동 음성은 저장하지 않음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개인정보</t>
    </r>
    <r>
      <rPr>
        <sz val="9"/>
        <rFont val="맑은 고딕"/>
        <family val="0"/>
        <charset val="1"/>
      </rPr>
      <t xml:space="preserve">)</t>
    </r>
  </si>
  <si>
    <t xml:space="preserve">쓰기 입력 방식</t>
  </si>
  <si>
    <r>
      <rPr>
        <sz val="9"/>
        <rFont val="WenQuanYi Zen Hei"/>
        <family val="2"/>
      </rPr>
      <t xml:space="preserve">따라 쓰기는 터치 필기 화면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획순 애니메이션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문장 쓰기는 낱말 카드 조합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서술형은 예시 답안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교사 확인</t>
    </r>
  </si>
  <si>
    <t xml:space="preserve">저학년은 한글 자판 입력이 어려움</t>
  </si>
  <si>
    <t xml:space="preserve">이미지</t>
  </si>
  <si>
    <t xml:space="preserve">공용 이미지 묶음</t>
  </si>
  <si>
    <r>
      <rPr>
        <sz val="9"/>
        <rFont val="WenQuanYi Zen Hei"/>
        <family val="2"/>
      </rPr>
      <t xml:space="preserve">주제별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학용품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장소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음식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감정 등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로 같은 톤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같은 크기로 정리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</si>
  <si>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06</t>
    </r>
    <r>
      <rPr>
        <sz val="9"/>
        <rFont val="WenQuanYi Zen Hei"/>
        <family val="2"/>
      </rPr>
      <t xml:space="preserve">에서 배경 제거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밝기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크기 맞춤 작업을 함</t>
    </r>
  </si>
  <si>
    <t xml:space="preserve">저작권 확인</t>
  </si>
  <si>
    <r>
      <rPr>
        <sz val="9"/>
        <rFont val="WenQuanYi Zen Hei"/>
        <family val="2"/>
      </rPr>
      <t xml:space="preserve">진단도구 그림 카드</t>
    </r>
    <r>
      <rPr>
        <sz val="9"/>
        <rFont val="맑은 고딕"/>
        <family val="0"/>
        <charset val="1"/>
      </rPr>
      <t xml:space="preserve">, ICMS </t>
    </r>
    <r>
      <rPr>
        <sz val="9"/>
        <rFont val="WenQuanYi Zen Hei"/>
        <family val="2"/>
      </rPr>
      <t xml:space="preserve">사진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캐릭터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온라인 캡처</t>
    </r>
    <r>
      <rPr>
        <sz val="9"/>
        <rFont val="맑은 고딕"/>
        <family val="0"/>
        <charset val="1"/>
      </rPr>
      <t xml:space="preserve">)</t>
    </r>
    <r>
      <rPr>
        <sz val="9"/>
        <rFont val="WenQuanYi Zen Hei"/>
        <family val="2"/>
      </rPr>
      <t xml:space="preserve">의 이용 범위 확인</t>
    </r>
  </si>
  <si>
    <r>
      <rPr>
        <sz val="9"/>
        <rFont val="WenQuanYi Zen Hei"/>
        <family val="2"/>
      </rPr>
      <t xml:space="preserve">교과서 표지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상표가 사진에 남아 있음</t>
    </r>
  </si>
  <si>
    <t xml:space="preserve">학년군별 디자인 톤</t>
  </si>
  <si>
    <r>
      <rPr>
        <sz val="9"/>
        <rFont val="WenQuanYi Zen Hei"/>
        <family val="2"/>
      </rPr>
      <t xml:space="preserve">초</t>
    </r>
    <r>
      <rPr>
        <sz val="9"/>
        <rFont val="맑은 고딕"/>
        <family val="0"/>
        <charset val="1"/>
      </rPr>
      <t xml:space="preserve">5~6</t>
    </r>
    <r>
      <rPr>
        <sz val="9"/>
        <rFont val="WenQuanYi Zen Hei"/>
        <family val="2"/>
      </rPr>
      <t xml:space="preserve">에 저학년용 캐릭터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톤을 그대로 쓰면 유치하게 느낄 수 있음</t>
    </r>
  </si>
  <si>
    <t xml:space="preserve">환경</t>
  </si>
  <si>
    <t xml:space="preserve">터치 대응</t>
  </si>
  <si>
    <t xml:space="preserve">학교 태블릿에서 끌어 놓기가 되도록 터치 이벤트 사용</t>
  </si>
  <si>
    <r>
      <rPr>
        <sz val="9"/>
        <rFont val="맑은 고딕"/>
        <family val="0"/>
        <charset val="1"/>
      </rPr>
      <t xml:space="preserve">HTML5 </t>
    </r>
    <r>
      <rPr>
        <sz val="9"/>
        <rFont val="WenQuanYi Zen Hei"/>
        <family val="2"/>
      </rPr>
      <t xml:space="preserve">끌어 놓기는 터치에서 작동하지 않을 수 있음</t>
    </r>
  </si>
  <si>
    <t xml:space="preserve">파일 구조</t>
  </si>
  <si>
    <r>
      <rPr>
        <sz val="9"/>
        <rFont val="WenQuanYi Zen Hei"/>
        <family val="2"/>
      </rPr>
      <t xml:space="preserve">차시당 단일 파일</t>
    </r>
    <r>
      <rPr>
        <sz val="9"/>
        <rFont val="맑은 고딕"/>
        <family val="0"/>
        <charset val="1"/>
      </rPr>
      <t xml:space="preserve">(</t>
    </r>
    <r>
      <rPr>
        <sz val="9"/>
        <rFont val="WenQuanYi Zen Hei"/>
        <family val="2"/>
      </rPr>
      <t xml:space="preserve">약 </t>
    </r>
    <r>
      <rPr>
        <sz val="9"/>
        <rFont val="맑은 고딕"/>
        <family val="0"/>
        <charset val="1"/>
      </rPr>
      <t xml:space="preserve">0.6MB) </t>
    </r>
    <r>
      <rPr>
        <sz val="9"/>
        <rFont val="WenQuanYi Zen Hei"/>
        <family val="2"/>
      </rPr>
      <t xml:space="preserve">유지 또는 공용 이미지 분리 결정</t>
    </r>
  </si>
  <si>
    <t xml:space="preserve">배포 규격</t>
  </si>
  <si>
    <r>
      <rPr>
        <sz val="9"/>
        <rFont val="맑은 고딕"/>
        <family val="0"/>
        <charset val="1"/>
      </rPr>
      <t xml:space="preserve">"</t>
    </r>
    <r>
      <rPr>
        <sz val="9"/>
        <rFont val="WenQuanYi Zen Hei"/>
        <family val="2"/>
      </rPr>
      <t xml:space="preserve">모두의 한국어</t>
    </r>
    <r>
      <rPr>
        <sz val="9"/>
        <rFont val="맑은 고딕"/>
        <family val="0"/>
        <charset val="1"/>
      </rPr>
      <t xml:space="preserve">" </t>
    </r>
    <r>
      <rPr>
        <sz val="9"/>
        <rFont val="WenQuanYi Zen Hei"/>
        <family val="2"/>
      </rPr>
      <t xml:space="preserve">사이트 업로드 형식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용량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접근성 기준 확인</t>
    </r>
  </si>
  <si>
    <t xml:space="preserve">미확인</t>
  </si>
  <si>
    <t xml:space="preserve">학습자</t>
  </si>
  <si>
    <t xml:space="preserve">모국어 도움</t>
  </si>
  <si>
    <r>
      <rPr>
        <sz val="9"/>
        <rFont val="WenQuanYi Zen Hei"/>
        <family val="2"/>
      </rPr>
      <t xml:space="preserve">지시문 음성은 필수</t>
    </r>
    <r>
      <rPr>
        <sz val="9"/>
        <rFont val="맑은 고딕"/>
        <family val="0"/>
        <charset val="1"/>
      </rPr>
      <t xml:space="preserve">, </t>
    </r>
    <r>
      <rPr>
        <sz val="9"/>
        <rFont val="WenQuanYi Zen Hei"/>
        <family val="2"/>
      </rPr>
      <t xml:space="preserve">필요하면 모국어 안내 추가</t>
    </r>
  </si>
  <si>
    <t xml:space="preserve">안내문 유의점과 같은 취지</t>
  </si>
  <si>
    <t xml:space="preserve">연계</t>
  </si>
  <si>
    <t xml:space="preserve">진단 연계 표시</t>
  </si>
  <si>
    <t xml:space="preserve">차시 화면이나 교사용 안내에 진단 코드를 표시해 미도달 성취수준 → 해당 차시 → 재진단으로 이어지게 함</t>
  </si>
  <si>
    <t xml:space="preserve">검수</t>
  </si>
  <si>
    <t xml:space="preserve">검수 절차</t>
  </si>
  <si>
    <r>
      <rPr>
        <sz val="9"/>
        <rFont val="WenQuanYi Zen Hei"/>
        <family val="2"/>
      </rPr>
      <t xml:space="preserve">문구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음성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정답 판정을 원고와 자동 대조 </t>
    </r>
    <r>
      <rPr>
        <sz val="9"/>
        <rFont val="맑은 고딕"/>
        <family val="0"/>
        <charset val="1"/>
      </rPr>
      <t xml:space="preserve">+ </t>
    </r>
    <r>
      <rPr>
        <sz val="9"/>
        <rFont val="WenQuanYi Zen Hei"/>
        <family val="2"/>
      </rPr>
      <t xml:space="preserve">실제 기기에서 소리 확인</t>
    </r>
  </si>
  <si>
    <r>
      <rPr>
        <sz val="9"/>
        <rFont val="WenQuanYi Zen Hei"/>
        <family val="2"/>
      </rPr>
      <t xml:space="preserve">듣기</t>
    </r>
    <r>
      <rPr>
        <sz val="9"/>
        <rFont val="맑은 고딕"/>
        <family val="0"/>
        <charset val="1"/>
      </rPr>
      <t xml:space="preserve">06</t>
    </r>
    <r>
      <rPr>
        <sz val="9"/>
        <rFont val="WenQuanYi Zen Hei"/>
        <family val="2"/>
      </rPr>
      <t xml:space="preserve">은 매 수정마다 원본과 문구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음성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판정을 자동 대조함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</si>
</sst>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WenQuanYi Zen Hei"/>
      <family val="2"/>
    </font>
    <font>
      <b val="true"/>
      <sz val="16"/>
      <color rgb="FF1F4E78"/>
      <name val="맑은 고딕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b val="true"/>
      <sz val="12"/>
      <color rgb="FF1F4E78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b val="true"/>
      <sz val="12"/>
      <color rgb="FF1F4E78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b val="true"/>
      <sz val="14"/>
      <color rgb="FF1F4E78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  <font>
      <b val="true"/>
      <sz val="11"/>
      <color rgb="FF1F4E78"/>
      <name val="WenQuanYi Zen Hei"/>
      <family val="2"/>
    </font>
    <font>
      <b val="true"/>
      <sz val="11"/>
      <color rgb="FF1F4E78"/>
      <name val="맑은 고딕"/>
      <family val="0"/>
      <charset val="1"/>
    </font>
    <font>
      <sz val="9"/>
      <name val="WenQuanYi Zen Hei"/>
      <family val="2"/>
    </font>
    <font>
      <sz val="9"/>
      <name val="맑은 고딕"/>
      <family val="0"/>
      <charset val="1"/>
    </font>
    <font>
      <b val="true"/>
      <sz val="9"/>
      <name val="WenQuanYi Zen Hei"/>
      <family val="2"/>
    </font>
    <font>
      <b val="true"/>
      <sz val="9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맑은 고딕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6" min="3" style="0" width="34"/>
  </cols>
  <sheetData>
    <row r="2" customFormat="false" ht="20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3" t="s">
        <v>3</v>
      </c>
      <c r="D5" s="3"/>
      <c r="E5" s="3"/>
      <c r="F5" s="3"/>
    </row>
    <row r="6" customFormat="false" ht="15" hidden="false" customHeight="true" outlineLevel="0" collapsed="false">
      <c r="B6" s="4" t="s">
        <v>4</v>
      </c>
      <c r="C6" s="4" t="s">
        <v>5</v>
      </c>
      <c r="D6" s="4"/>
      <c r="E6" s="4"/>
      <c r="F6" s="4"/>
    </row>
    <row r="7" customFormat="false" ht="15" hidden="false" customHeight="true" outlineLevel="0" collapsed="false">
      <c r="B7" s="4" t="s">
        <v>6</v>
      </c>
      <c r="C7" s="5" t="s">
        <v>7</v>
      </c>
      <c r="D7" s="5"/>
      <c r="E7" s="5"/>
      <c r="F7" s="5"/>
    </row>
    <row r="8" customFormat="false" ht="15" hidden="false" customHeight="true" outlineLevel="0" collapsed="false">
      <c r="B8" s="4" t="s">
        <v>8</v>
      </c>
      <c r="C8" s="4" t="s">
        <v>9</v>
      </c>
      <c r="D8" s="4"/>
      <c r="E8" s="4"/>
      <c r="F8" s="4"/>
    </row>
    <row r="9" customFormat="false" ht="15" hidden="false" customHeight="true" outlineLevel="0" collapsed="false">
      <c r="B9" s="4" t="s">
        <v>10</v>
      </c>
      <c r="C9" s="4" t="s">
        <v>11</v>
      </c>
      <c r="D9" s="4"/>
      <c r="E9" s="4"/>
      <c r="F9" s="4"/>
    </row>
    <row r="10" customFormat="false" ht="15" hidden="false" customHeight="true" outlineLevel="0" collapsed="false">
      <c r="B10" s="4" t="s">
        <v>12</v>
      </c>
      <c r="C10" s="4" t="s">
        <v>13</v>
      </c>
      <c r="D10" s="4"/>
      <c r="E10" s="4"/>
      <c r="F10" s="4"/>
    </row>
    <row r="12" customFormat="false" ht="15" hidden="false" customHeight="false" outlineLevel="0" collapsed="false">
      <c r="B12" s="6" t="s">
        <v>14</v>
      </c>
    </row>
    <row r="13" customFormat="false" ht="30" hidden="false" customHeight="true" outlineLevel="0" collapsed="false">
      <c r="B13" s="7" t="s">
        <v>15</v>
      </c>
      <c r="C13" s="7"/>
      <c r="D13" s="7"/>
      <c r="E13" s="7"/>
      <c r="F13" s="7"/>
    </row>
    <row r="14" customFormat="false" ht="30" hidden="false" customHeight="true" outlineLevel="0" collapsed="false">
      <c r="B14" s="8" t="s">
        <v>16</v>
      </c>
      <c r="C14" s="8"/>
      <c r="D14" s="8"/>
      <c r="E14" s="8"/>
      <c r="F14" s="8"/>
    </row>
    <row r="15" customFormat="false" ht="30" hidden="false" customHeight="true" outlineLevel="0" collapsed="false">
      <c r="B15" s="8" t="s">
        <v>17</v>
      </c>
      <c r="C15" s="8"/>
      <c r="D15" s="8"/>
      <c r="E15" s="8"/>
      <c r="F15" s="8"/>
    </row>
    <row r="16" customFormat="false" ht="30" hidden="false" customHeight="true" outlineLevel="0" collapsed="false">
      <c r="B16" s="8" t="s">
        <v>18</v>
      </c>
      <c r="C16" s="8"/>
      <c r="D16" s="8"/>
      <c r="E16" s="8"/>
      <c r="F16" s="8"/>
    </row>
    <row r="17" customFormat="false" ht="30" hidden="false" customHeight="true" outlineLevel="0" collapsed="false">
      <c r="B17" s="8" t="s">
        <v>19</v>
      </c>
      <c r="C17" s="8"/>
      <c r="D17" s="8"/>
      <c r="E17" s="8"/>
      <c r="F17" s="8"/>
    </row>
    <row r="19" customFormat="false" ht="15" hidden="false" customHeight="false" outlineLevel="0" collapsed="false">
      <c r="B19" s="6" t="s">
        <v>20</v>
      </c>
    </row>
    <row r="20" customFormat="false" ht="30" hidden="false" customHeight="true" outlineLevel="0" collapsed="false">
      <c r="B20" s="9" t="s">
        <v>21</v>
      </c>
      <c r="C20" s="9"/>
      <c r="D20" s="9"/>
      <c r="E20" s="9"/>
      <c r="F20" s="9"/>
    </row>
    <row r="21" customFormat="false" ht="30" hidden="false" customHeight="true" outlineLevel="0" collapsed="false">
      <c r="B21" s="8" t="s">
        <v>22</v>
      </c>
      <c r="C21" s="8"/>
      <c r="D21" s="8"/>
      <c r="E21" s="8"/>
      <c r="F21" s="8"/>
    </row>
    <row r="22" customFormat="false" ht="30" hidden="false" customHeight="true" outlineLevel="0" collapsed="false">
      <c r="B22" s="8" t="s">
        <v>23</v>
      </c>
      <c r="C22" s="8"/>
      <c r="D22" s="8"/>
      <c r="E22" s="8"/>
      <c r="F22" s="8"/>
    </row>
    <row r="24" customFormat="false" ht="17.15" hidden="false" customHeight="false" outlineLevel="0" collapsed="false">
      <c r="B24" s="6" t="s">
        <v>24</v>
      </c>
    </row>
    <row r="25" customFormat="false" ht="15" hidden="false" customHeight="false" outlineLevel="0" collapsed="false">
      <c r="B25" s="10" t="s">
        <v>25</v>
      </c>
      <c r="C25" s="11" t="s">
        <v>26</v>
      </c>
      <c r="D25" s="11" t="s">
        <v>27</v>
      </c>
      <c r="E25" s="11" t="s">
        <v>28</v>
      </c>
      <c r="F25" s="11" t="s">
        <v>29</v>
      </c>
    </row>
    <row r="26" customFormat="false" ht="61.5" hidden="false" customHeight="true" outlineLevel="0" collapsed="false">
      <c r="B26" s="12" t="s">
        <v>30</v>
      </c>
      <c r="C26" s="13" t="s">
        <v>31</v>
      </c>
      <c r="D26" s="13" t="s">
        <v>32</v>
      </c>
      <c r="E26" s="13" t="s">
        <v>33</v>
      </c>
      <c r="F26" s="13" t="s">
        <v>34</v>
      </c>
    </row>
    <row r="27" customFormat="false" ht="61.5" hidden="false" customHeight="true" outlineLevel="0" collapsed="false">
      <c r="B27" s="12" t="s">
        <v>35</v>
      </c>
      <c r="C27" s="13" t="s">
        <v>36</v>
      </c>
      <c r="D27" s="13" t="s">
        <v>37</v>
      </c>
      <c r="E27" s="13" t="s">
        <v>38</v>
      </c>
      <c r="F27" s="13" t="s">
        <v>39</v>
      </c>
    </row>
    <row r="28" customFormat="false" ht="61.5" hidden="false" customHeight="true" outlineLevel="0" collapsed="false">
      <c r="B28" s="12" t="s">
        <v>40</v>
      </c>
      <c r="C28" s="13" t="s">
        <v>41</v>
      </c>
      <c r="D28" s="13" t="s">
        <v>42</v>
      </c>
      <c r="E28" s="13" t="s">
        <v>43</v>
      </c>
      <c r="F28" s="13" t="s">
        <v>44</v>
      </c>
    </row>
    <row r="30" customFormat="false" ht="15" hidden="false" customHeight="false" outlineLevel="0" collapsed="false">
      <c r="B30" s="6" t="s">
        <v>45</v>
      </c>
    </row>
    <row r="31" customFormat="false" ht="15" hidden="false" customHeight="true" outlineLevel="0" collapsed="false">
      <c r="B31" s="8" t="s">
        <v>46</v>
      </c>
      <c r="C31" s="8"/>
      <c r="D31" s="8"/>
      <c r="E31" s="8"/>
      <c r="F31" s="8"/>
    </row>
    <row r="32" customFormat="false" ht="15" hidden="false" customHeight="true" outlineLevel="0" collapsed="false">
      <c r="B32" s="7" t="s">
        <v>47</v>
      </c>
      <c r="C32" s="7"/>
      <c r="D32" s="7"/>
      <c r="E32" s="7"/>
      <c r="F32" s="7"/>
    </row>
    <row r="33" customFormat="false" ht="15" hidden="false" customHeight="true" outlineLevel="0" collapsed="false">
      <c r="B33" s="8" t="s">
        <v>48</v>
      </c>
      <c r="C33" s="8"/>
      <c r="D33" s="8"/>
      <c r="E33" s="8"/>
      <c r="F33" s="8"/>
    </row>
  </sheetData>
  <mergeCells count="17">
    <mergeCell ref="C5:F5"/>
    <mergeCell ref="C6:F6"/>
    <mergeCell ref="C7:F7"/>
    <mergeCell ref="C8:F8"/>
    <mergeCell ref="C9:F9"/>
    <mergeCell ref="C10:F10"/>
    <mergeCell ref="B13:F13"/>
    <mergeCell ref="B14:F14"/>
    <mergeCell ref="B15:F15"/>
    <mergeCell ref="B16:F16"/>
    <mergeCell ref="B17:F17"/>
    <mergeCell ref="B20:F20"/>
    <mergeCell ref="B21:F21"/>
    <mergeCell ref="B22:F22"/>
    <mergeCell ref="B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8" min="5" style="0" width="8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4" t="s">
        <v>4</v>
      </c>
    </row>
    <row r="2" customFormat="false" ht="15" hidden="false" customHeight="false" outlineLevel="0" collapsed="false">
      <c r="A2" s="15" t="s">
        <v>49</v>
      </c>
    </row>
    <row r="4" customFormat="false" ht="15" hidden="false" customHeight="false" outlineLevel="0" collapsed="false">
      <c r="A4" s="10" t="s">
        <v>25</v>
      </c>
      <c r="B4" s="10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56</v>
      </c>
      <c r="I4" s="10" t="s">
        <v>57</v>
      </c>
      <c r="J4" s="10" t="s">
        <v>58</v>
      </c>
    </row>
    <row r="5" customFormat="false" ht="15" hidden="false" customHeight="false" outlineLevel="0" collapsed="false">
      <c r="A5" s="16" t="s">
        <v>59</v>
      </c>
      <c r="B5" s="17" t="s">
        <v>60</v>
      </c>
      <c r="C5" s="16" t="n">
        <f aca="false">SUMPRODUCT((커리큘럼!$B$2:$B$205=$A5)*(커리큘럼!$C$2:$C$205=$B5))</f>
        <v>16</v>
      </c>
      <c r="D5" s="16" t="n">
        <f aca="false">SUMPRODUCT(('진단 문항'!$A$2:$A$515=$A5)*('진단 문항'!$B$2:$B$515=$B5))</f>
        <v>39</v>
      </c>
      <c r="E5" s="16" t="n">
        <f aca="false">SUMPRODUCT((커리큘럼!$B$2:$B$205=$A5)*(커리큘럼!$C$2:$C$205=$B5)*(커리큘럼!$R$2:$R$205="예정"))</f>
        <v>16</v>
      </c>
      <c r="F5" s="16" t="n">
        <f aca="false">SUMPRODUCT((커리큘럼!$B$2:$B$205=$A5)*(커리큘럼!$C$2:$C$205=$B5)*(커리큘럼!$R$2:$R$205="제작중"))</f>
        <v>0</v>
      </c>
      <c r="G5" s="16" t="n">
        <f aca="false">SUMPRODUCT((커리큘럼!$B$2:$B$205=$A5)*(커리큘럼!$C$2:$C$205=$B5)*(커리큘럼!$R$2:$R$205="검수중"))</f>
        <v>0</v>
      </c>
      <c r="H5" s="16" t="n">
        <f aca="false">SUMPRODUCT((커리큘럼!$B$2:$B$205=$A5)*(커리큘럼!$C$2:$C$205=$B5)*(커리큘럼!$R$2:$R$205="완료"))</f>
        <v>0</v>
      </c>
      <c r="I5" s="16" t="n">
        <f aca="false">SUMPRODUCT((커리큘럼!$B$2:$B$205=$A5)*(커리큘럼!$C$2:$C$205=$B5)*(커리큘럼!$R$2:$R$205="확인 필요"))</f>
        <v>0</v>
      </c>
      <c r="J5" s="18" t="n">
        <f aca="false">IF(C5=0,0,H5/C5)</f>
        <v>0</v>
      </c>
    </row>
    <row r="6" customFormat="false" ht="15" hidden="false" customHeight="false" outlineLevel="0" collapsed="false">
      <c r="A6" s="16" t="s">
        <v>59</v>
      </c>
      <c r="B6" s="19" t="s">
        <v>61</v>
      </c>
      <c r="C6" s="16" t="n">
        <f aca="false">SUMPRODUCT((커리큘럼!$B$2:$B$205=$A6)*(커리큘럼!$C$2:$C$205=$B6))</f>
        <v>20</v>
      </c>
      <c r="D6" s="16" t="n">
        <f aca="false">SUMPRODUCT(('진단 문항'!$A$2:$A$515=$A6)*('진단 문항'!$B$2:$B$515=$B6))</f>
        <v>55</v>
      </c>
      <c r="E6" s="16" t="n">
        <f aca="false">SUMPRODUCT((커리큘럼!$B$2:$B$205=$A6)*(커리큘럼!$C$2:$C$205=$B6)*(커리큘럼!$R$2:$R$205="예정"))</f>
        <v>20</v>
      </c>
      <c r="F6" s="16" t="n">
        <f aca="false">SUMPRODUCT((커리큘럼!$B$2:$B$205=$A6)*(커리큘럼!$C$2:$C$205=$B6)*(커리큘럼!$R$2:$R$205="제작중"))</f>
        <v>0</v>
      </c>
      <c r="G6" s="16" t="n">
        <f aca="false">SUMPRODUCT((커리큘럼!$B$2:$B$205=$A6)*(커리큘럼!$C$2:$C$205=$B6)*(커리큘럼!$R$2:$R$205="검수중"))</f>
        <v>0</v>
      </c>
      <c r="H6" s="16" t="n">
        <f aca="false">SUMPRODUCT((커리큘럼!$B$2:$B$205=$A6)*(커리큘럼!$C$2:$C$205=$B6)*(커리큘럼!$R$2:$R$205="완료"))</f>
        <v>0</v>
      </c>
      <c r="I6" s="16" t="n">
        <f aca="false">SUMPRODUCT((커리큘럼!$B$2:$B$205=$A6)*(커리큘럼!$C$2:$C$205=$B6)*(커리큘럼!$R$2:$R$205="확인 필요"))</f>
        <v>0</v>
      </c>
      <c r="J6" s="18" t="n">
        <f aca="false">IF(C6=0,0,H6/C6)</f>
        <v>0</v>
      </c>
    </row>
    <row r="7" customFormat="false" ht="15" hidden="false" customHeight="false" outlineLevel="0" collapsed="false">
      <c r="A7" s="16" t="s">
        <v>59</v>
      </c>
      <c r="B7" s="20" t="s">
        <v>62</v>
      </c>
      <c r="C7" s="16" t="n">
        <f aca="false">SUMPRODUCT((커리큘럼!$B$2:$B$205=$A7)*(커리큘럼!$C$2:$C$205=$B7))</f>
        <v>16</v>
      </c>
      <c r="D7" s="16" t="n">
        <f aca="false">SUMPRODUCT(('진단 문항'!$A$2:$A$515=$A7)*('진단 문항'!$B$2:$B$515=$B7))</f>
        <v>47</v>
      </c>
      <c r="E7" s="16" t="n">
        <f aca="false">SUMPRODUCT((커리큘럼!$B$2:$B$205=$A7)*(커리큘럼!$C$2:$C$205=$B7)*(커리큘럼!$R$2:$R$205="예정"))</f>
        <v>16</v>
      </c>
      <c r="F7" s="16" t="n">
        <f aca="false">SUMPRODUCT((커리큘럼!$B$2:$B$205=$A7)*(커리큘럼!$C$2:$C$205=$B7)*(커리큘럼!$R$2:$R$205="제작중"))</f>
        <v>0</v>
      </c>
      <c r="G7" s="16" t="n">
        <f aca="false">SUMPRODUCT((커리큘럼!$B$2:$B$205=$A7)*(커리큘럼!$C$2:$C$205=$B7)*(커리큘럼!$R$2:$R$205="검수중"))</f>
        <v>0</v>
      </c>
      <c r="H7" s="16" t="n">
        <f aca="false">SUMPRODUCT((커리큘럼!$B$2:$B$205=$A7)*(커리큘럼!$C$2:$C$205=$B7)*(커리큘럼!$R$2:$R$205="완료"))</f>
        <v>0</v>
      </c>
      <c r="I7" s="16" t="n">
        <f aca="false">SUMPRODUCT((커리큘럼!$B$2:$B$205=$A7)*(커리큘럼!$C$2:$C$205=$B7)*(커리큘럼!$R$2:$R$205="확인 필요"))</f>
        <v>0</v>
      </c>
      <c r="J7" s="18" t="n">
        <f aca="false">IF(C7=0,0,H7/C7)</f>
        <v>0</v>
      </c>
    </row>
    <row r="8" customFormat="false" ht="15" hidden="false" customHeight="false" outlineLevel="0" collapsed="false">
      <c r="A8" s="16" t="s">
        <v>59</v>
      </c>
      <c r="B8" s="21" t="s">
        <v>63</v>
      </c>
      <c r="C8" s="16" t="n">
        <f aca="false">SUMPRODUCT((커리큘럼!$B$2:$B$205=$A8)*(커리큘럼!$C$2:$C$205=$B8))</f>
        <v>16</v>
      </c>
      <c r="D8" s="16" t="n">
        <f aca="false">SUMPRODUCT(('진단 문항'!$A$2:$A$515=$A8)*('진단 문항'!$B$2:$B$515=$B8))</f>
        <v>36</v>
      </c>
      <c r="E8" s="16" t="n">
        <f aca="false">SUMPRODUCT((커리큘럼!$B$2:$B$205=$A8)*(커리큘럼!$C$2:$C$205=$B8)*(커리큘럼!$R$2:$R$205="예정"))</f>
        <v>16</v>
      </c>
      <c r="F8" s="16" t="n">
        <f aca="false">SUMPRODUCT((커리큘럼!$B$2:$B$205=$A8)*(커리큘럼!$C$2:$C$205=$B8)*(커리큘럼!$R$2:$R$205="제작중"))</f>
        <v>0</v>
      </c>
      <c r="G8" s="16" t="n">
        <f aca="false">SUMPRODUCT((커리큘럼!$B$2:$B$205=$A8)*(커리큘럼!$C$2:$C$205=$B8)*(커리큘럼!$R$2:$R$205="검수중"))</f>
        <v>0</v>
      </c>
      <c r="H8" s="16" t="n">
        <f aca="false">SUMPRODUCT((커리큘럼!$B$2:$B$205=$A8)*(커리큘럼!$C$2:$C$205=$B8)*(커리큘럼!$R$2:$R$205="완료"))</f>
        <v>0</v>
      </c>
      <c r="I8" s="16" t="n">
        <f aca="false">SUMPRODUCT((커리큘럼!$B$2:$B$205=$A8)*(커리큘럼!$C$2:$C$205=$B8)*(커리큘럼!$R$2:$R$205="확인 필요"))</f>
        <v>0</v>
      </c>
      <c r="J8" s="18" t="n">
        <f aca="false">IF(C8=0,0,H8/C8)</f>
        <v>0</v>
      </c>
    </row>
    <row r="9" customFormat="false" ht="15" hidden="false" customHeight="false" outlineLevel="0" collapsed="false">
      <c r="A9" s="22" t="s">
        <v>30</v>
      </c>
      <c r="B9" s="22" t="s">
        <v>64</v>
      </c>
      <c r="C9" s="22" t="n">
        <f aca="false">SUM(C5:C8)</f>
        <v>68</v>
      </c>
      <c r="D9" s="22" t="n">
        <f aca="false">SUM(D5:D8)</f>
        <v>177</v>
      </c>
      <c r="E9" s="22" t="n">
        <f aca="false">SUM(E5:E8)</f>
        <v>68</v>
      </c>
      <c r="F9" s="22" t="n">
        <f aca="false">SUM(F5:F8)</f>
        <v>0</v>
      </c>
      <c r="G9" s="22" t="n">
        <f aca="false">SUM(G5:G8)</f>
        <v>0</v>
      </c>
      <c r="H9" s="22" t="n">
        <f aca="false">SUM(H5:H8)</f>
        <v>0</v>
      </c>
      <c r="I9" s="22" t="n">
        <f aca="false">SUM(I5:I8)</f>
        <v>0</v>
      </c>
      <c r="J9" s="23" t="n">
        <f aca="false">IF(C9=0,0,H9/C9)</f>
        <v>0</v>
      </c>
    </row>
    <row r="10" customFormat="false" ht="15" hidden="false" customHeight="false" outlineLevel="0" collapsed="false">
      <c r="A10" s="16" t="s">
        <v>65</v>
      </c>
      <c r="B10" s="17" t="s">
        <v>60</v>
      </c>
      <c r="C10" s="16" t="n">
        <f aca="false">SUMPRODUCT((커리큘럼!$B$2:$B$205=$A10)*(커리큘럼!$C$2:$C$205=$B10))</f>
        <v>16</v>
      </c>
      <c r="D10" s="16" t="n">
        <f aca="false">SUMPRODUCT(('진단 문항'!$A$2:$A$515=$A10)*('진단 문항'!$B$2:$B$515=$B10))</f>
        <v>34</v>
      </c>
      <c r="E10" s="16" t="n">
        <f aca="false">SUMPRODUCT((커리큘럼!$B$2:$B$205=$A10)*(커리큘럼!$C$2:$C$205=$B10)*(커리큘럼!$R$2:$R$205="예정"))</f>
        <v>15</v>
      </c>
      <c r="F10" s="16" t="n">
        <f aca="false">SUMPRODUCT((커리큘럼!$B$2:$B$205=$A10)*(커리큘럼!$C$2:$C$205=$B10)*(커리큘럼!$R$2:$R$205="제작중"))</f>
        <v>0</v>
      </c>
      <c r="G10" s="16" t="n">
        <f aca="false">SUMPRODUCT((커리큘럼!$B$2:$B$205=$A10)*(커리큘럼!$C$2:$C$205=$B10)*(커리큘럼!$R$2:$R$205="검수중"))</f>
        <v>0</v>
      </c>
      <c r="H10" s="16" t="n">
        <f aca="false">SUMPRODUCT((커리큘럼!$B$2:$B$205=$A10)*(커리큘럼!$C$2:$C$205=$B10)*(커리큘럼!$R$2:$R$205="완료"))</f>
        <v>1</v>
      </c>
      <c r="I10" s="16" t="n">
        <f aca="false">SUMPRODUCT((커리큘럼!$B$2:$B$205=$A10)*(커리큘럼!$C$2:$C$205=$B10)*(커리큘럼!$R$2:$R$205="확인 필요"))</f>
        <v>0</v>
      </c>
      <c r="J10" s="18" t="n">
        <f aca="false">IF(C10=0,0,H10/C10)</f>
        <v>0.0625</v>
      </c>
    </row>
    <row r="11" customFormat="false" ht="15" hidden="false" customHeight="false" outlineLevel="0" collapsed="false">
      <c r="A11" s="16" t="s">
        <v>65</v>
      </c>
      <c r="B11" s="19" t="s">
        <v>61</v>
      </c>
      <c r="C11" s="16" t="n">
        <f aca="false">SUMPRODUCT((커리큘럼!$B$2:$B$205=$A11)*(커리큘럼!$C$2:$C$205=$B11))</f>
        <v>20</v>
      </c>
      <c r="D11" s="16" t="n">
        <f aca="false">SUMPRODUCT(('진단 문항'!$A$2:$A$515=$A11)*('진단 문항'!$B$2:$B$515=$B11))</f>
        <v>50</v>
      </c>
      <c r="E11" s="16" t="n">
        <f aca="false">SUMPRODUCT((커리큘럼!$B$2:$B$205=$A11)*(커리큘럼!$C$2:$C$205=$B11)*(커리큘럼!$R$2:$R$205="예정"))</f>
        <v>20</v>
      </c>
      <c r="F11" s="16" t="n">
        <f aca="false">SUMPRODUCT((커리큘럼!$B$2:$B$205=$A11)*(커리큘럼!$C$2:$C$205=$B11)*(커리큘럼!$R$2:$R$205="제작중"))</f>
        <v>0</v>
      </c>
      <c r="G11" s="16" t="n">
        <f aca="false">SUMPRODUCT((커리큘럼!$B$2:$B$205=$A11)*(커리큘럼!$C$2:$C$205=$B11)*(커리큘럼!$R$2:$R$205="검수중"))</f>
        <v>0</v>
      </c>
      <c r="H11" s="16" t="n">
        <f aca="false">SUMPRODUCT((커리큘럼!$B$2:$B$205=$A11)*(커리큘럼!$C$2:$C$205=$B11)*(커리큘럼!$R$2:$R$205="완료"))</f>
        <v>0</v>
      </c>
      <c r="I11" s="16" t="n">
        <f aca="false">SUMPRODUCT((커리큘럼!$B$2:$B$205=$A11)*(커리큘럼!$C$2:$C$205=$B11)*(커리큘럼!$R$2:$R$205="확인 필요"))</f>
        <v>0</v>
      </c>
      <c r="J11" s="18" t="n">
        <f aca="false">IF(C11=0,0,H11/C11)</f>
        <v>0</v>
      </c>
    </row>
    <row r="12" customFormat="false" ht="15" hidden="false" customHeight="false" outlineLevel="0" collapsed="false">
      <c r="A12" s="16" t="s">
        <v>65</v>
      </c>
      <c r="B12" s="20" t="s">
        <v>62</v>
      </c>
      <c r="C12" s="16" t="n">
        <f aca="false">SUMPRODUCT((커리큘럼!$B$2:$B$205=$A12)*(커리큘럼!$C$2:$C$205=$B12))</f>
        <v>16</v>
      </c>
      <c r="D12" s="16" t="n">
        <f aca="false">SUMPRODUCT(('진단 문항'!$A$2:$A$515=$A12)*('진단 문항'!$B$2:$B$515=$B12))</f>
        <v>38</v>
      </c>
      <c r="E12" s="16" t="n">
        <f aca="false">SUMPRODUCT((커리큘럼!$B$2:$B$205=$A12)*(커리큘럼!$C$2:$C$205=$B12)*(커리큘럼!$R$2:$R$205="예정"))</f>
        <v>16</v>
      </c>
      <c r="F12" s="16" t="n">
        <f aca="false">SUMPRODUCT((커리큘럼!$B$2:$B$205=$A12)*(커리큘럼!$C$2:$C$205=$B12)*(커리큘럼!$R$2:$R$205="제작중"))</f>
        <v>0</v>
      </c>
      <c r="G12" s="16" t="n">
        <f aca="false">SUMPRODUCT((커리큘럼!$B$2:$B$205=$A12)*(커리큘럼!$C$2:$C$205=$B12)*(커리큘럼!$R$2:$R$205="검수중"))</f>
        <v>0</v>
      </c>
      <c r="H12" s="16" t="n">
        <f aca="false">SUMPRODUCT((커리큘럼!$B$2:$B$205=$A12)*(커리큘럼!$C$2:$C$205=$B12)*(커리큘럼!$R$2:$R$205="완료"))</f>
        <v>0</v>
      </c>
      <c r="I12" s="16" t="n">
        <f aca="false">SUMPRODUCT((커리큘럼!$B$2:$B$205=$A12)*(커리큘럼!$C$2:$C$205=$B12)*(커리큘럼!$R$2:$R$205="확인 필요"))</f>
        <v>0</v>
      </c>
      <c r="J12" s="18" t="n">
        <f aca="false">IF(C12=0,0,H12/C12)</f>
        <v>0</v>
      </c>
    </row>
    <row r="13" customFormat="false" ht="15" hidden="false" customHeight="false" outlineLevel="0" collapsed="false">
      <c r="A13" s="16" t="s">
        <v>65</v>
      </c>
      <c r="B13" s="21" t="s">
        <v>63</v>
      </c>
      <c r="C13" s="16" t="n">
        <f aca="false">SUMPRODUCT((커리큘럼!$B$2:$B$205=$A13)*(커리큘럼!$C$2:$C$205=$B13))</f>
        <v>16</v>
      </c>
      <c r="D13" s="16" t="n">
        <f aca="false">SUMPRODUCT(('진단 문항'!$A$2:$A$515=$A13)*('진단 문항'!$B$2:$B$515=$B13))</f>
        <v>35</v>
      </c>
      <c r="E13" s="16" t="n">
        <f aca="false">SUMPRODUCT((커리큘럼!$B$2:$B$205=$A13)*(커리큘럼!$C$2:$C$205=$B13)*(커리큘럼!$R$2:$R$205="예정"))</f>
        <v>16</v>
      </c>
      <c r="F13" s="16" t="n">
        <f aca="false">SUMPRODUCT((커리큘럼!$B$2:$B$205=$A13)*(커리큘럼!$C$2:$C$205=$B13)*(커리큘럼!$R$2:$R$205="제작중"))</f>
        <v>0</v>
      </c>
      <c r="G13" s="16" t="n">
        <f aca="false">SUMPRODUCT((커리큘럼!$B$2:$B$205=$A13)*(커리큘럼!$C$2:$C$205=$B13)*(커리큘럼!$R$2:$R$205="검수중"))</f>
        <v>0</v>
      </c>
      <c r="H13" s="16" t="n">
        <f aca="false">SUMPRODUCT((커리큘럼!$B$2:$B$205=$A13)*(커리큘럼!$C$2:$C$205=$B13)*(커리큘럼!$R$2:$R$205="완료"))</f>
        <v>0</v>
      </c>
      <c r="I13" s="16" t="n">
        <f aca="false">SUMPRODUCT((커리큘럼!$B$2:$B$205=$A13)*(커리큘럼!$C$2:$C$205=$B13)*(커리큘럼!$R$2:$R$205="확인 필요"))</f>
        <v>0</v>
      </c>
      <c r="J13" s="18" t="n">
        <f aca="false">IF(C13=0,0,H13/C13)</f>
        <v>0</v>
      </c>
    </row>
    <row r="14" customFormat="false" ht="15" hidden="false" customHeight="false" outlineLevel="0" collapsed="false">
      <c r="A14" s="22" t="s">
        <v>35</v>
      </c>
      <c r="B14" s="22" t="s">
        <v>64</v>
      </c>
      <c r="C14" s="22" t="n">
        <f aca="false">SUM(C10:C13)</f>
        <v>68</v>
      </c>
      <c r="D14" s="22" t="n">
        <f aca="false">SUM(D10:D13)</f>
        <v>157</v>
      </c>
      <c r="E14" s="22" t="n">
        <f aca="false">SUM(E10:E13)</f>
        <v>67</v>
      </c>
      <c r="F14" s="22" t="n">
        <f aca="false">SUM(F10:F13)</f>
        <v>0</v>
      </c>
      <c r="G14" s="22" t="n">
        <f aca="false">SUM(G10:G13)</f>
        <v>0</v>
      </c>
      <c r="H14" s="22" t="n">
        <f aca="false">SUM(H10:H13)</f>
        <v>1</v>
      </c>
      <c r="I14" s="22" t="n">
        <f aca="false">SUM(I10:I13)</f>
        <v>0</v>
      </c>
      <c r="J14" s="23" t="n">
        <f aca="false">IF(C14=0,0,H14/C14)</f>
        <v>0.0147058823529412</v>
      </c>
    </row>
    <row r="15" customFormat="false" ht="15" hidden="false" customHeight="false" outlineLevel="0" collapsed="false">
      <c r="A15" s="16" t="s">
        <v>66</v>
      </c>
      <c r="B15" s="17" t="s">
        <v>60</v>
      </c>
      <c r="C15" s="16" t="n">
        <f aca="false">SUMPRODUCT((커리큘럼!$B$2:$B$205=$A15)*(커리큘럼!$C$2:$C$205=$B15))</f>
        <v>16</v>
      </c>
      <c r="D15" s="16" t="n">
        <f aca="false">SUMPRODUCT(('진단 문항'!$A$2:$A$515=$A15)*('진단 문항'!$B$2:$B$515=$B15))</f>
        <v>43</v>
      </c>
      <c r="E15" s="16" t="n">
        <f aca="false">SUMPRODUCT((커리큘럼!$B$2:$B$205=$A15)*(커리큘럼!$C$2:$C$205=$B15)*(커리큘럼!$R$2:$R$205="예정"))</f>
        <v>16</v>
      </c>
      <c r="F15" s="16" t="n">
        <f aca="false">SUMPRODUCT((커리큘럼!$B$2:$B$205=$A15)*(커리큘럼!$C$2:$C$205=$B15)*(커리큘럼!$R$2:$R$205="제작중"))</f>
        <v>0</v>
      </c>
      <c r="G15" s="16" t="n">
        <f aca="false">SUMPRODUCT((커리큘럼!$B$2:$B$205=$A15)*(커리큘럼!$C$2:$C$205=$B15)*(커리큘럼!$R$2:$R$205="검수중"))</f>
        <v>0</v>
      </c>
      <c r="H15" s="16" t="n">
        <f aca="false">SUMPRODUCT((커리큘럼!$B$2:$B$205=$A15)*(커리큘럼!$C$2:$C$205=$B15)*(커리큘럼!$R$2:$R$205="완료"))</f>
        <v>0</v>
      </c>
      <c r="I15" s="16" t="n">
        <f aca="false">SUMPRODUCT((커리큘럼!$B$2:$B$205=$A15)*(커리큘럼!$C$2:$C$205=$B15)*(커리큘럼!$R$2:$R$205="확인 필요"))</f>
        <v>0</v>
      </c>
      <c r="J15" s="18" t="n">
        <f aca="false">IF(C15=0,0,H15/C15)</f>
        <v>0</v>
      </c>
    </row>
    <row r="16" customFormat="false" ht="15" hidden="false" customHeight="false" outlineLevel="0" collapsed="false">
      <c r="A16" s="16" t="s">
        <v>66</v>
      </c>
      <c r="B16" s="19" t="s">
        <v>61</v>
      </c>
      <c r="C16" s="16" t="n">
        <f aca="false">SUMPRODUCT((커리큘럼!$B$2:$B$205=$A16)*(커리큘럼!$C$2:$C$205=$B16))</f>
        <v>20</v>
      </c>
      <c r="D16" s="16" t="n">
        <f aca="false">SUMPRODUCT(('진단 문항'!$A$2:$A$515=$A16)*('진단 문항'!$B$2:$B$515=$B16))</f>
        <v>58</v>
      </c>
      <c r="E16" s="16" t="n">
        <f aca="false">SUMPRODUCT((커리큘럼!$B$2:$B$205=$A16)*(커리큘럼!$C$2:$C$205=$B16)*(커리큘럼!$R$2:$R$205="예정"))</f>
        <v>20</v>
      </c>
      <c r="F16" s="16" t="n">
        <f aca="false">SUMPRODUCT((커리큘럼!$B$2:$B$205=$A16)*(커리큘럼!$C$2:$C$205=$B16)*(커리큘럼!$R$2:$R$205="제작중"))</f>
        <v>0</v>
      </c>
      <c r="G16" s="16" t="n">
        <f aca="false">SUMPRODUCT((커리큘럼!$B$2:$B$205=$A16)*(커리큘럼!$C$2:$C$205=$B16)*(커리큘럼!$R$2:$R$205="검수중"))</f>
        <v>0</v>
      </c>
      <c r="H16" s="16" t="n">
        <f aca="false">SUMPRODUCT((커리큘럼!$B$2:$B$205=$A16)*(커리큘럼!$C$2:$C$205=$B16)*(커리큘럼!$R$2:$R$205="완료"))</f>
        <v>0</v>
      </c>
      <c r="I16" s="16" t="n">
        <f aca="false">SUMPRODUCT((커리큘럼!$B$2:$B$205=$A16)*(커리큘럼!$C$2:$C$205=$B16)*(커리큘럼!$R$2:$R$205="확인 필요"))</f>
        <v>0</v>
      </c>
      <c r="J16" s="18" t="n">
        <f aca="false">IF(C16=0,0,H16/C16)</f>
        <v>0</v>
      </c>
    </row>
    <row r="17" customFormat="false" ht="15" hidden="false" customHeight="false" outlineLevel="0" collapsed="false">
      <c r="A17" s="16" t="s">
        <v>66</v>
      </c>
      <c r="B17" s="20" t="s">
        <v>62</v>
      </c>
      <c r="C17" s="16" t="n">
        <f aca="false">SUMPRODUCT((커리큘럼!$B$2:$B$205=$A17)*(커리큘럼!$C$2:$C$205=$B17))</f>
        <v>16</v>
      </c>
      <c r="D17" s="16" t="n">
        <f aca="false">SUMPRODUCT(('진단 문항'!$A$2:$A$515=$A17)*('진단 문항'!$B$2:$B$515=$B17))</f>
        <v>41</v>
      </c>
      <c r="E17" s="16" t="n">
        <f aca="false">SUMPRODUCT((커리큘럼!$B$2:$B$205=$A17)*(커리큘럼!$C$2:$C$205=$B17)*(커리큘럼!$R$2:$R$205="예정"))</f>
        <v>16</v>
      </c>
      <c r="F17" s="16" t="n">
        <f aca="false">SUMPRODUCT((커리큘럼!$B$2:$B$205=$A17)*(커리큘럼!$C$2:$C$205=$B17)*(커리큘럼!$R$2:$R$205="제작중"))</f>
        <v>0</v>
      </c>
      <c r="G17" s="16" t="n">
        <f aca="false">SUMPRODUCT((커리큘럼!$B$2:$B$205=$A17)*(커리큘럼!$C$2:$C$205=$B17)*(커리큘럼!$R$2:$R$205="검수중"))</f>
        <v>0</v>
      </c>
      <c r="H17" s="16" t="n">
        <f aca="false">SUMPRODUCT((커리큘럼!$B$2:$B$205=$A17)*(커리큘럼!$C$2:$C$205=$B17)*(커리큘럼!$R$2:$R$205="완료"))</f>
        <v>0</v>
      </c>
      <c r="I17" s="16" t="n">
        <f aca="false">SUMPRODUCT((커리큘럼!$B$2:$B$205=$A17)*(커리큘럼!$C$2:$C$205=$B17)*(커리큘럼!$R$2:$R$205="확인 필요"))</f>
        <v>0</v>
      </c>
      <c r="J17" s="18" t="n">
        <f aca="false">IF(C17=0,0,H17/C17)</f>
        <v>0</v>
      </c>
    </row>
    <row r="18" customFormat="false" ht="15" hidden="false" customHeight="false" outlineLevel="0" collapsed="false">
      <c r="A18" s="16" t="s">
        <v>66</v>
      </c>
      <c r="B18" s="21" t="s">
        <v>63</v>
      </c>
      <c r="C18" s="16" t="n">
        <f aca="false">SUMPRODUCT((커리큘럼!$B$2:$B$205=$A18)*(커리큘럼!$C$2:$C$205=$B18))</f>
        <v>16</v>
      </c>
      <c r="D18" s="16" t="n">
        <f aca="false">SUMPRODUCT(('진단 문항'!$A$2:$A$515=$A18)*('진단 문항'!$B$2:$B$515=$B18))</f>
        <v>38</v>
      </c>
      <c r="E18" s="16" t="n">
        <f aca="false">SUMPRODUCT((커리큘럼!$B$2:$B$205=$A18)*(커리큘럼!$C$2:$C$205=$B18)*(커리큘럼!$R$2:$R$205="예정"))</f>
        <v>16</v>
      </c>
      <c r="F18" s="16" t="n">
        <f aca="false">SUMPRODUCT((커리큘럼!$B$2:$B$205=$A18)*(커리큘럼!$C$2:$C$205=$B18)*(커리큘럼!$R$2:$R$205="제작중"))</f>
        <v>0</v>
      </c>
      <c r="G18" s="16" t="n">
        <f aca="false">SUMPRODUCT((커리큘럼!$B$2:$B$205=$A18)*(커리큘럼!$C$2:$C$205=$B18)*(커리큘럼!$R$2:$R$205="검수중"))</f>
        <v>0</v>
      </c>
      <c r="H18" s="16" t="n">
        <f aca="false">SUMPRODUCT((커리큘럼!$B$2:$B$205=$A18)*(커리큘럼!$C$2:$C$205=$B18)*(커리큘럼!$R$2:$R$205="완료"))</f>
        <v>0</v>
      </c>
      <c r="I18" s="16" t="n">
        <f aca="false">SUMPRODUCT((커리큘럼!$B$2:$B$205=$A18)*(커리큘럼!$C$2:$C$205=$B18)*(커리큘럼!$R$2:$R$205="확인 필요"))</f>
        <v>0</v>
      </c>
      <c r="J18" s="18" t="n">
        <f aca="false">IF(C18=0,0,H18/C18)</f>
        <v>0</v>
      </c>
    </row>
    <row r="19" customFormat="false" ht="15" hidden="false" customHeight="false" outlineLevel="0" collapsed="false">
      <c r="A19" s="22" t="s">
        <v>40</v>
      </c>
      <c r="B19" s="22" t="s">
        <v>64</v>
      </c>
      <c r="C19" s="22" t="n">
        <f aca="false">SUM(C15:C18)</f>
        <v>68</v>
      </c>
      <c r="D19" s="22" t="n">
        <f aca="false">SUM(D15:D18)</f>
        <v>180</v>
      </c>
      <c r="E19" s="22" t="n">
        <f aca="false">SUM(E15:E18)</f>
        <v>68</v>
      </c>
      <c r="F19" s="22" t="n">
        <f aca="false">SUM(F15:F18)</f>
        <v>0</v>
      </c>
      <c r="G19" s="22" t="n">
        <f aca="false">SUM(G15:G18)</f>
        <v>0</v>
      </c>
      <c r="H19" s="22" t="n">
        <f aca="false">SUM(H15:H18)</f>
        <v>0</v>
      </c>
      <c r="I19" s="22" t="n">
        <f aca="false">SUM(I15:I18)</f>
        <v>0</v>
      </c>
      <c r="J19" s="23" t="n">
        <f aca="false">IF(C19=0,0,H19/C19)</f>
        <v>0</v>
      </c>
    </row>
    <row r="20" customFormat="false" ht="15" hidden="false" customHeight="false" outlineLevel="0" collapsed="false">
      <c r="A20" s="10" t="s">
        <v>67</v>
      </c>
      <c r="B20" s="10" t="s">
        <v>68</v>
      </c>
      <c r="C20" s="10" t="n">
        <f aca="false">SUMIF($B$5:$B$19,"소계",C5:C19)</f>
        <v>204</v>
      </c>
      <c r="D20" s="10" t="n">
        <f aca="false">SUMIF($B$5:$B$19,"소계",D5:D19)</f>
        <v>514</v>
      </c>
      <c r="E20" s="10" t="n">
        <f aca="false">SUMIF($B$5:$B$19,"소계",E5:E19)</f>
        <v>203</v>
      </c>
      <c r="F20" s="10" t="n">
        <f aca="false">SUMIF($B$5:$B$19,"소계",F5:F19)</f>
        <v>0</v>
      </c>
      <c r="G20" s="10" t="n">
        <f aca="false">SUMIF($B$5:$B$19,"소계",G5:G19)</f>
        <v>0</v>
      </c>
      <c r="H20" s="10" t="n">
        <f aca="false">SUMIF($B$5:$B$19,"소계",H5:H19)</f>
        <v>1</v>
      </c>
      <c r="I20" s="10" t="n">
        <f aca="false">SUMIF($B$5:$B$19,"소계",I5:I19)</f>
        <v>0</v>
      </c>
      <c r="J20" s="24" t="n">
        <f aca="false">IF(C20=0,0,H20/C20)</f>
        <v>0.00490196078431373</v>
      </c>
    </row>
    <row r="22" customFormat="false" ht="15" hidden="false" customHeight="false" outlineLevel="0" collapsed="false">
      <c r="A22" s="25" t="s">
        <v>69</v>
      </c>
    </row>
    <row r="23" customFormat="false" ht="15" hidden="false" customHeight="false" outlineLevel="0" collapsed="false">
      <c r="A23" s="10" t="s">
        <v>70</v>
      </c>
      <c r="B23" s="10" t="s">
        <v>71</v>
      </c>
      <c r="C23" s="10" t="s">
        <v>51</v>
      </c>
      <c r="D23" s="10" t="s">
        <v>56</v>
      </c>
    </row>
    <row r="24" customFormat="false" ht="15" hidden="false" customHeight="false" outlineLevel="0" collapsed="false">
      <c r="A24" s="16" t="n">
        <v>1</v>
      </c>
      <c r="B24" s="26" t="s">
        <v>72</v>
      </c>
      <c r="C24" s="26" t="n">
        <f aca="false">COUNTIFS(커리큘럼!$Q$2:$Q$205,$A24)</f>
        <v>54</v>
      </c>
      <c r="D24" s="26" t="n">
        <f aca="false">COUNTIFS(커리큘럼!$Q$2:$Q$205,$A24,커리큘럼!$R$2:$R$205,"완료")</f>
        <v>1</v>
      </c>
    </row>
    <row r="25" customFormat="false" ht="15" hidden="false" customHeight="false" outlineLevel="0" collapsed="false">
      <c r="A25" s="26" t="n">
        <v>2</v>
      </c>
      <c r="B25" s="26" t="s">
        <v>73</v>
      </c>
      <c r="C25" s="26" t="n">
        <f aca="false">COUNTIFS(커리큘럼!$Q$2:$Q$205,$A25)</f>
        <v>48</v>
      </c>
      <c r="D25" s="26" t="n">
        <f aca="false">COUNTIFS(커리큘럼!$Q$2:$Q$205,$A25,커리큘럼!$R$2:$R$205,"완료")</f>
        <v>0</v>
      </c>
    </row>
    <row r="26" customFormat="false" ht="15" hidden="false" customHeight="false" outlineLevel="0" collapsed="false">
      <c r="A26" s="26" t="n">
        <v>3</v>
      </c>
      <c r="B26" s="26" t="s">
        <v>74</v>
      </c>
      <c r="C26" s="26" t="n">
        <f aca="false">COUNTIFS(커리큘럼!$Q$2:$Q$205,$A26)</f>
        <v>102</v>
      </c>
      <c r="D26" s="26" t="n">
        <f aca="false">COUNTIFS(커리큘럼!$Q$2:$Q$205,$A26,커리큘럼!$R$2:$R$205,"완료")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6" min="4" style="0" width="6"/>
    <col collapsed="false" customWidth="true" hidden="false" outlineLevel="0" max="7" min="7" style="0" width="26"/>
    <col collapsed="false" customWidth="true" hidden="false" outlineLevel="0" max="9" min="8" style="0" width="34"/>
    <col collapsed="false" customWidth="true" hidden="false" outlineLevel="0" max="10" min="10" style="0" width="13"/>
    <col collapsed="false" customWidth="true" hidden="false" outlineLevel="0" max="11" min="11" style="0" width="48"/>
    <col collapsed="false" customWidth="true" hidden="false" outlineLevel="0" max="12" min="12" style="0" width="52"/>
    <col collapsed="false" customWidth="true" hidden="false" outlineLevel="0" max="13" min="13" style="0" width="22"/>
    <col collapsed="false" customWidth="true" hidden="false" outlineLevel="0" max="14" min="14" style="0" width="11"/>
    <col collapsed="false" customWidth="true" hidden="false" outlineLevel="0" max="15" min="15" style="0" width="24"/>
    <col collapsed="false" customWidth="true" hidden="false" outlineLevel="0" max="16" min="16" style="0" width="26"/>
    <col collapsed="false" customWidth="true" hidden="false" outlineLevel="0" max="17" min="17" style="0" width="6"/>
    <col collapsed="false" customWidth="true" hidden="false" outlineLevel="0" max="19" min="18" style="0" width="9"/>
    <col collapsed="false" customWidth="true" hidden="false" outlineLevel="0" max="20" min="20" style="0" width="36"/>
  </cols>
  <sheetData>
    <row r="1" customFormat="false" ht="31.5" hidden="false" customHeight="true" outlineLevel="0" collapsed="false">
      <c r="A1" s="10" t="s">
        <v>75</v>
      </c>
      <c r="B1" s="10" t="s">
        <v>25</v>
      </c>
      <c r="C1" s="10" t="s">
        <v>50</v>
      </c>
      <c r="D1" s="10" t="s">
        <v>76</v>
      </c>
      <c r="E1" s="10" t="s">
        <v>77</v>
      </c>
      <c r="F1" s="10" t="s">
        <v>78</v>
      </c>
      <c r="G1" s="10" t="s">
        <v>79</v>
      </c>
      <c r="H1" s="10" t="s">
        <v>80</v>
      </c>
      <c r="I1" s="10" t="s">
        <v>81</v>
      </c>
      <c r="J1" s="10" t="s">
        <v>82</v>
      </c>
      <c r="K1" s="10" t="s">
        <v>83</v>
      </c>
      <c r="L1" s="10" t="s">
        <v>84</v>
      </c>
      <c r="M1" s="10" t="s">
        <v>85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customFormat="false" ht="103.5" hidden="false" customHeight="true" outlineLevel="0" collapsed="false">
      <c r="A2" s="27" t="s">
        <v>93</v>
      </c>
      <c r="B2" s="28" t="s">
        <v>94</v>
      </c>
      <c r="C2" s="29" t="s">
        <v>60</v>
      </c>
      <c r="D2" s="28" t="n">
        <v>1</v>
      </c>
      <c r="E2" s="28" t="n">
        <v>1</v>
      </c>
      <c r="F2" s="28" t="n">
        <v>1</v>
      </c>
      <c r="G2" s="30" t="s">
        <v>95</v>
      </c>
      <c r="H2" s="27" t="s">
        <v>96</v>
      </c>
      <c r="I2" s="27" t="s">
        <v>97</v>
      </c>
      <c r="J2" s="31" t="s">
        <v>98</v>
      </c>
      <c r="K2" s="31" t="s">
        <v>99</v>
      </c>
      <c r="L2" s="27" t="s">
        <v>100</v>
      </c>
      <c r="M2" s="27" t="s">
        <v>101</v>
      </c>
      <c r="N2" s="27" t="s">
        <v>102</v>
      </c>
      <c r="O2" s="27" t="s">
        <v>103</v>
      </c>
      <c r="P2" s="27" t="s">
        <v>104</v>
      </c>
      <c r="Q2" s="28" t="n">
        <v>1</v>
      </c>
      <c r="R2" s="32" t="s">
        <v>53</v>
      </c>
      <c r="S2" s="33"/>
      <c r="T2" s="34"/>
    </row>
    <row r="3" customFormat="false" ht="103.5" hidden="false" customHeight="true" outlineLevel="0" collapsed="false">
      <c r="A3" s="27" t="s">
        <v>105</v>
      </c>
      <c r="B3" s="28" t="s">
        <v>94</v>
      </c>
      <c r="C3" s="29" t="s">
        <v>60</v>
      </c>
      <c r="D3" s="28" t="n">
        <v>1</v>
      </c>
      <c r="E3" s="28" t="n">
        <v>2</v>
      </c>
      <c r="F3" s="28" t="n">
        <v>2</v>
      </c>
      <c r="G3" s="30" t="s">
        <v>106</v>
      </c>
      <c r="H3" s="27" t="s">
        <v>107</v>
      </c>
      <c r="I3" s="27" t="s">
        <v>108</v>
      </c>
      <c r="J3" s="31" t="s">
        <v>109</v>
      </c>
      <c r="K3" s="31" t="s">
        <v>110</v>
      </c>
      <c r="L3" s="27" t="s">
        <v>111</v>
      </c>
      <c r="M3" s="27" t="s">
        <v>101</v>
      </c>
      <c r="N3" s="27" t="s">
        <v>112</v>
      </c>
      <c r="O3" s="27" t="s">
        <v>113</v>
      </c>
      <c r="P3" s="27" t="s">
        <v>104</v>
      </c>
      <c r="Q3" s="28" t="n">
        <v>1</v>
      </c>
      <c r="R3" s="32" t="s">
        <v>53</v>
      </c>
      <c r="S3" s="33"/>
      <c r="T3" s="34"/>
    </row>
    <row r="4" customFormat="false" ht="103.5" hidden="false" customHeight="true" outlineLevel="0" collapsed="false">
      <c r="A4" s="27" t="s">
        <v>114</v>
      </c>
      <c r="B4" s="28" t="s">
        <v>94</v>
      </c>
      <c r="C4" s="29" t="s">
        <v>60</v>
      </c>
      <c r="D4" s="28" t="n">
        <v>1</v>
      </c>
      <c r="E4" s="28" t="n">
        <v>3</v>
      </c>
      <c r="F4" s="28" t="n">
        <v>3</v>
      </c>
      <c r="G4" s="30" t="s">
        <v>115</v>
      </c>
      <c r="H4" s="27" t="s">
        <v>116</v>
      </c>
      <c r="I4" s="27" t="s">
        <v>117</v>
      </c>
      <c r="J4" s="31" t="s">
        <v>118</v>
      </c>
      <c r="K4" s="31" t="s">
        <v>119</v>
      </c>
      <c r="L4" s="27" t="s">
        <v>120</v>
      </c>
      <c r="M4" s="27" t="s">
        <v>121</v>
      </c>
      <c r="N4" s="27" t="s">
        <v>122</v>
      </c>
      <c r="O4" s="27" t="s">
        <v>123</v>
      </c>
      <c r="P4" s="27" t="s">
        <v>104</v>
      </c>
      <c r="Q4" s="28" t="n">
        <v>1</v>
      </c>
      <c r="R4" s="32" t="s">
        <v>53</v>
      </c>
      <c r="S4" s="33"/>
      <c r="T4" s="34"/>
    </row>
    <row r="5" customFormat="false" ht="103.5" hidden="false" customHeight="true" outlineLevel="0" collapsed="false">
      <c r="A5" s="27" t="s">
        <v>124</v>
      </c>
      <c r="B5" s="28" t="s">
        <v>94</v>
      </c>
      <c r="C5" s="29" t="s">
        <v>60</v>
      </c>
      <c r="D5" s="28" t="n">
        <v>1</v>
      </c>
      <c r="E5" s="28" t="n">
        <v>4</v>
      </c>
      <c r="F5" s="28" t="n">
        <v>4</v>
      </c>
      <c r="G5" s="30" t="s">
        <v>125</v>
      </c>
      <c r="H5" s="27" t="s">
        <v>126</v>
      </c>
      <c r="I5" s="27" t="s">
        <v>127</v>
      </c>
      <c r="J5" s="31" t="s">
        <v>128</v>
      </c>
      <c r="K5" s="31" t="s">
        <v>129</v>
      </c>
      <c r="L5" s="27" t="s">
        <v>130</v>
      </c>
      <c r="M5" s="27" t="s">
        <v>101</v>
      </c>
      <c r="N5" s="27" t="s">
        <v>131</v>
      </c>
      <c r="O5" s="27" t="s">
        <v>132</v>
      </c>
      <c r="P5" s="27" t="s">
        <v>104</v>
      </c>
      <c r="Q5" s="28" t="n">
        <v>1</v>
      </c>
      <c r="R5" s="32" t="s">
        <v>53</v>
      </c>
      <c r="S5" s="33"/>
      <c r="T5" s="34"/>
    </row>
    <row r="6" customFormat="false" ht="103.5" hidden="false" customHeight="true" outlineLevel="0" collapsed="false">
      <c r="A6" s="27" t="s">
        <v>133</v>
      </c>
      <c r="B6" s="28" t="s">
        <v>94</v>
      </c>
      <c r="C6" s="29" t="s">
        <v>60</v>
      </c>
      <c r="D6" s="28" t="n">
        <v>2</v>
      </c>
      <c r="E6" s="28" t="n">
        <v>1</v>
      </c>
      <c r="F6" s="28" t="n">
        <v>5</v>
      </c>
      <c r="G6" s="30" t="s">
        <v>134</v>
      </c>
      <c r="H6" s="27" t="s">
        <v>135</v>
      </c>
      <c r="I6" s="27" t="s">
        <v>136</v>
      </c>
      <c r="J6" s="31" t="s">
        <v>137</v>
      </c>
      <c r="K6" s="31" t="s">
        <v>138</v>
      </c>
      <c r="L6" s="27" t="s">
        <v>139</v>
      </c>
      <c r="M6" s="27" t="s">
        <v>101</v>
      </c>
      <c r="N6" s="27" t="s">
        <v>140</v>
      </c>
      <c r="O6" s="27" t="s">
        <v>141</v>
      </c>
      <c r="P6" s="27" t="s">
        <v>142</v>
      </c>
      <c r="Q6" s="28" t="n">
        <v>1</v>
      </c>
      <c r="R6" s="32" t="s">
        <v>53</v>
      </c>
      <c r="S6" s="33"/>
      <c r="T6" s="34"/>
    </row>
    <row r="7" customFormat="false" ht="103.5" hidden="false" customHeight="true" outlineLevel="0" collapsed="false">
      <c r="A7" s="27" t="s">
        <v>143</v>
      </c>
      <c r="B7" s="28" t="s">
        <v>94</v>
      </c>
      <c r="C7" s="29" t="s">
        <v>60</v>
      </c>
      <c r="D7" s="28" t="n">
        <v>2</v>
      </c>
      <c r="E7" s="28" t="n">
        <v>2</v>
      </c>
      <c r="F7" s="28" t="n">
        <v>6</v>
      </c>
      <c r="G7" s="30" t="s">
        <v>144</v>
      </c>
      <c r="H7" s="27" t="s">
        <v>145</v>
      </c>
      <c r="I7" s="27" t="s">
        <v>146</v>
      </c>
      <c r="J7" s="31" t="s">
        <v>147</v>
      </c>
      <c r="K7" s="31" t="s">
        <v>148</v>
      </c>
      <c r="L7" s="27" t="s">
        <v>149</v>
      </c>
      <c r="M7" s="27" t="s">
        <v>121</v>
      </c>
      <c r="N7" s="27" t="s">
        <v>150</v>
      </c>
      <c r="O7" s="27" t="s">
        <v>151</v>
      </c>
      <c r="P7" s="27" t="s">
        <v>152</v>
      </c>
      <c r="Q7" s="28" t="n">
        <v>1</v>
      </c>
      <c r="R7" s="32" t="s">
        <v>53</v>
      </c>
      <c r="S7" s="33"/>
      <c r="T7" s="35" t="s">
        <v>153</v>
      </c>
    </row>
    <row r="8" customFormat="false" ht="103.5" hidden="false" customHeight="true" outlineLevel="0" collapsed="false">
      <c r="A8" s="27" t="s">
        <v>154</v>
      </c>
      <c r="B8" s="28" t="s">
        <v>94</v>
      </c>
      <c r="C8" s="29" t="s">
        <v>60</v>
      </c>
      <c r="D8" s="28" t="n">
        <v>2</v>
      </c>
      <c r="E8" s="28" t="n">
        <v>3</v>
      </c>
      <c r="F8" s="28" t="n">
        <v>7</v>
      </c>
      <c r="G8" s="30" t="s">
        <v>155</v>
      </c>
      <c r="H8" s="27" t="s">
        <v>156</v>
      </c>
      <c r="I8" s="27" t="s">
        <v>157</v>
      </c>
      <c r="J8" s="31" t="s">
        <v>158</v>
      </c>
      <c r="K8" s="31" t="s">
        <v>159</v>
      </c>
      <c r="L8" s="27" t="s">
        <v>160</v>
      </c>
      <c r="M8" s="27" t="s">
        <v>101</v>
      </c>
      <c r="N8" s="27" t="s">
        <v>161</v>
      </c>
      <c r="O8" s="27"/>
      <c r="P8" s="27" t="s">
        <v>104</v>
      </c>
      <c r="Q8" s="28" t="n">
        <v>1</v>
      </c>
      <c r="R8" s="32" t="s">
        <v>53</v>
      </c>
      <c r="S8" s="33"/>
      <c r="T8" s="35"/>
    </row>
    <row r="9" customFormat="false" ht="103.5" hidden="false" customHeight="true" outlineLevel="0" collapsed="false">
      <c r="A9" s="27" t="s">
        <v>162</v>
      </c>
      <c r="B9" s="28" t="s">
        <v>94</v>
      </c>
      <c r="C9" s="29" t="s">
        <v>60</v>
      </c>
      <c r="D9" s="28" t="n">
        <v>2</v>
      </c>
      <c r="E9" s="28" t="n">
        <v>4</v>
      </c>
      <c r="F9" s="28" t="n">
        <v>8</v>
      </c>
      <c r="G9" s="30" t="s">
        <v>163</v>
      </c>
      <c r="H9" s="27" t="s">
        <v>164</v>
      </c>
      <c r="I9" s="27" t="s">
        <v>165</v>
      </c>
      <c r="J9" s="31" t="s">
        <v>166</v>
      </c>
      <c r="K9" s="31" t="s">
        <v>167</v>
      </c>
      <c r="L9" s="27" t="s">
        <v>168</v>
      </c>
      <c r="M9" s="27" t="s">
        <v>169</v>
      </c>
      <c r="N9" s="27" t="s">
        <v>170</v>
      </c>
      <c r="O9" s="27" t="s">
        <v>171</v>
      </c>
      <c r="P9" s="27" t="s">
        <v>152</v>
      </c>
      <c r="Q9" s="28" t="n">
        <v>1</v>
      </c>
      <c r="R9" s="32" t="s">
        <v>53</v>
      </c>
      <c r="S9" s="33"/>
      <c r="T9" s="35"/>
    </row>
    <row r="10" customFormat="false" ht="103.5" hidden="false" customHeight="true" outlineLevel="0" collapsed="false">
      <c r="A10" s="27" t="s">
        <v>172</v>
      </c>
      <c r="B10" s="28" t="s">
        <v>94</v>
      </c>
      <c r="C10" s="29" t="s">
        <v>60</v>
      </c>
      <c r="D10" s="28" t="n">
        <v>3</v>
      </c>
      <c r="E10" s="28" t="n">
        <v>1</v>
      </c>
      <c r="F10" s="28" t="n">
        <v>9</v>
      </c>
      <c r="G10" s="30" t="s">
        <v>173</v>
      </c>
      <c r="H10" s="27" t="s">
        <v>174</v>
      </c>
      <c r="I10" s="27" t="s">
        <v>175</v>
      </c>
      <c r="J10" s="31" t="s">
        <v>176</v>
      </c>
      <c r="K10" s="31" t="s">
        <v>177</v>
      </c>
      <c r="L10" s="27" t="s">
        <v>178</v>
      </c>
      <c r="M10" s="27" t="s">
        <v>101</v>
      </c>
      <c r="N10" s="27" t="s">
        <v>179</v>
      </c>
      <c r="O10" s="27" t="s">
        <v>180</v>
      </c>
      <c r="P10" s="27" t="s">
        <v>181</v>
      </c>
      <c r="Q10" s="28" t="n">
        <v>3</v>
      </c>
      <c r="R10" s="32" t="s">
        <v>53</v>
      </c>
      <c r="S10" s="33"/>
      <c r="T10" s="35"/>
    </row>
    <row r="11" customFormat="false" ht="103.5" hidden="false" customHeight="true" outlineLevel="0" collapsed="false">
      <c r="A11" s="27" t="s">
        <v>182</v>
      </c>
      <c r="B11" s="28" t="s">
        <v>94</v>
      </c>
      <c r="C11" s="29" t="s">
        <v>60</v>
      </c>
      <c r="D11" s="28" t="n">
        <v>3</v>
      </c>
      <c r="E11" s="28" t="n">
        <v>2</v>
      </c>
      <c r="F11" s="28" t="n">
        <v>10</v>
      </c>
      <c r="G11" s="30" t="s">
        <v>183</v>
      </c>
      <c r="H11" s="27" t="s">
        <v>184</v>
      </c>
      <c r="I11" s="27" t="s">
        <v>185</v>
      </c>
      <c r="J11" s="31" t="s">
        <v>186</v>
      </c>
      <c r="K11" s="31" t="s">
        <v>187</v>
      </c>
      <c r="L11" s="27" t="s">
        <v>188</v>
      </c>
      <c r="M11" s="27" t="s">
        <v>189</v>
      </c>
      <c r="N11" s="27" t="s">
        <v>190</v>
      </c>
      <c r="O11" s="27" t="s">
        <v>191</v>
      </c>
      <c r="P11" s="27" t="s">
        <v>181</v>
      </c>
      <c r="Q11" s="28" t="n">
        <v>3</v>
      </c>
      <c r="R11" s="32" t="s">
        <v>53</v>
      </c>
      <c r="S11" s="33"/>
      <c r="T11" s="35"/>
    </row>
    <row r="12" customFormat="false" ht="103.5" hidden="false" customHeight="true" outlineLevel="0" collapsed="false">
      <c r="A12" s="27" t="s">
        <v>192</v>
      </c>
      <c r="B12" s="28" t="s">
        <v>94</v>
      </c>
      <c r="C12" s="29" t="s">
        <v>60</v>
      </c>
      <c r="D12" s="28" t="n">
        <v>3</v>
      </c>
      <c r="E12" s="28" t="n">
        <v>3</v>
      </c>
      <c r="F12" s="28" t="n">
        <v>11</v>
      </c>
      <c r="G12" s="30" t="s">
        <v>193</v>
      </c>
      <c r="H12" s="27" t="s">
        <v>194</v>
      </c>
      <c r="I12" s="27" t="s">
        <v>195</v>
      </c>
      <c r="J12" s="31" t="s">
        <v>196</v>
      </c>
      <c r="K12" s="31" t="s">
        <v>197</v>
      </c>
      <c r="L12" s="27" t="s">
        <v>198</v>
      </c>
      <c r="M12" s="27" t="s">
        <v>199</v>
      </c>
      <c r="N12" s="27" t="s">
        <v>190</v>
      </c>
      <c r="O12" s="27" t="s">
        <v>200</v>
      </c>
      <c r="P12" s="27" t="s">
        <v>104</v>
      </c>
      <c r="Q12" s="28" t="n">
        <v>3</v>
      </c>
      <c r="R12" s="32" t="s">
        <v>53</v>
      </c>
      <c r="S12" s="33"/>
      <c r="T12" s="35"/>
    </row>
    <row r="13" customFormat="false" ht="103.5" hidden="false" customHeight="true" outlineLevel="0" collapsed="false">
      <c r="A13" s="27" t="s">
        <v>201</v>
      </c>
      <c r="B13" s="28" t="s">
        <v>94</v>
      </c>
      <c r="C13" s="29" t="s">
        <v>60</v>
      </c>
      <c r="D13" s="28" t="n">
        <v>3</v>
      </c>
      <c r="E13" s="28" t="n">
        <v>4</v>
      </c>
      <c r="F13" s="28" t="n">
        <v>12</v>
      </c>
      <c r="G13" s="30" t="s">
        <v>202</v>
      </c>
      <c r="H13" s="27" t="s">
        <v>203</v>
      </c>
      <c r="I13" s="27" t="s">
        <v>204</v>
      </c>
      <c r="J13" s="31" t="s">
        <v>205</v>
      </c>
      <c r="K13" s="31" t="s">
        <v>206</v>
      </c>
      <c r="L13" s="27" t="s">
        <v>207</v>
      </c>
      <c r="M13" s="27" t="s">
        <v>101</v>
      </c>
      <c r="N13" s="27" t="s">
        <v>208</v>
      </c>
      <c r="O13" s="27" t="s">
        <v>209</v>
      </c>
      <c r="P13" s="27" t="s">
        <v>104</v>
      </c>
      <c r="Q13" s="28" t="n">
        <v>3</v>
      </c>
      <c r="R13" s="32" t="s">
        <v>53</v>
      </c>
      <c r="S13" s="33"/>
      <c r="T13" s="35"/>
    </row>
    <row r="14" customFormat="false" ht="103.5" hidden="false" customHeight="true" outlineLevel="0" collapsed="false">
      <c r="A14" s="27" t="s">
        <v>210</v>
      </c>
      <c r="B14" s="28" t="s">
        <v>94</v>
      </c>
      <c r="C14" s="29" t="s">
        <v>60</v>
      </c>
      <c r="D14" s="28" t="n">
        <v>4</v>
      </c>
      <c r="E14" s="28" t="n">
        <v>1</v>
      </c>
      <c r="F14" s="28" t="n">
        <v>13</v>
      </c>
      <c r="G14" s="30" t="s">
        <v>211</v>
      </c>
      <c r="H14" s="27" t="s">
        <v>212</v>
      </c>
      <c r="I14" s="27" t="s">
        <v>213</v>
      </c>
      <c r="J14" s="31" t="s">
        <v>214</v>
      </c>
      <c r="K14" s="31" t="s">
        <v>215</v>
      </c>
      <c r="L14" s="27" t="s">
        <v>216</v>
      </c>
      <c r="M14" s="27" t="s">
        <v>101</v>
      </c>
      <c r="N14" s="27" t="s">
        <v>217</v>
      </c>
      <c r="O14" s="27" t="s">
        <v>218</v>
      </c>
      <c r="P14" s="27" t="s">
        <v>104</v>
      </c>
      <c r="Q14" s="28" t="n">
        <v>3</v>
      </c>
      <c r="R14" s="32" t="s">
        <v>53</v>
      </c>
      <c r="S14" s="33"/>
      <c r="T14" s="35"/>
    </row>
    <row r="15" customFormat="false" ht="103.5" hidden="false" customHeight="true" outlineLevel="0" collapsed="false">
      <c r="A15" s="27" t="s">
        <v>219</v>
      </c>
      <c r="B15" s="28" t="s">
        <v>94</v>
      </c>
      <c r="C15" s="29" t="s">
        <v>60</v>
      </c>
      <c r="D15" s="28" t="n">
        <v>4</v>
      </c>
      <c r="E15" s="28" t="n">
        <v>2</v>
      </c>
      <c r="F15" s="28" t="n">
        <v>14</v>
      </c>
      <c r="G15" s="30" t="s">
        <v>220</v>
      </c>
      <c r="H15" s="27" t="s">
        <v>221</v>
      </c>
      <c r="I15" s="27" t="s">
        <v>222</v>
      </c>
      <c r="J15" s="31" t="s">
        <v>223</v>
      </c>
      <c r="K15" s="31" t="s">
        <v>224</v>
      </c>
      <c r="L15" s="27" t="s">
        <v>225</v>
      </c>
      <c r="M15" s="27" t="s">
        <v>101</v>
      </c>
      <c r="N15" s="27" t="s">
        <v>208</v>
      </c>
      <c r="O15" s="27" t="s">
        <v>226</v>
      </c>
      <c r="P15" s="27" t="s">
        <v>152</v>
      </c>
      <c r="Q15" s="28" t="n">
        <v>3</v>
      </c>
      <c r="R15" s="32" t="s">
        <v>53</v>
      </c>
      <c r="S15" s="33"/>
      <c r="T15" s="35"/>
    </row>
    <row r="16" customFormat="false" ht="103.5" hidden="false" customHeight="true" outlineLevel="0" collapsed="false">
      <c r="A16" s="27" t="s">
        <v>227</v>
      </c>
      <c r="B16" s="28" t="s">
        <v>94</v>
      </c>
      <c r="C16" s="29" t="s">
        <v>60</v>
      </c>
      <c r="D16" s="28" t="n">
        <v>4</v>
      </c>
      <c r="E16" s="28" t="n">
        <v>3</v>
      </c>
      <c r="F16" s="28" t="n">
        <v>15</v>
      </c>
      <c r="G16" s="30" t="s">
        <v>228</v>
      </c>
      <c r="H16" s="27" t="s">
        <v>229</v>
      </c>
      <c r="I16" s="27" t="s">
        <v>230</v>
      </c>
      <c r="J16" s="31" t="s">
        <v>231</v>
      </c>
      <c r="K16" s="31" t="s">
        <v>232</v>
      </c>
      <c r="L16" s="27" t="s">
        <v>233</v>
      </c>
      <c r="M16" s="27" t="s">
        <v>234</v>
      </c>
      <c r="N16" s="27" t="s">
        <v>235</v>
      </c>
      <c r="O16" s="27" t="s">
        <v>236</v>
      </c>
      <c r="P16" s="27" t="s">
        <v>104</v>
      </c>
      <c r="Q16" s="28" t="n">
        <v>3</v>
      </c>
      <c r="R16" s="32" t="s">
        <v>53</v>
      </c>
      <c r="S16" s="33"/>
      <c r="T16" s="35"/>
    </row>
    <row r="17" customFormat="false" ht="103.5" hidden="false" customHeight="true" outlineLevel="0" collapsed="false">
      <c r="A17" s="27" t="s">
        <v>237</v>
      </c>
      <c r="B17" s="28" t="s">
        <v>94</v>
      </c>
      <c r="C17" s="29" t="s">
        <v>60</v>
      </c>
      <c r="D17" s="28" t="n">
        <v>4</v>
      </c>
      <c r="E17" s="28" t="n">
        <v>4</v>
      </c>
      <c r="F17" s="28" t="n">
        <v>16</v>
      </c>
      <c r="G17" s="30" t="s">
        <v>238</v>
      </c>
      <c r="H17" s="27" t="s">
        <v>239</v>
      </c>
      <c r="I17" s="27" t="s">
        <v>240</v>
      </c>
      <c r="J17" s="31" t="s">
        <v>241</v>
      </c>
      <c r="K17" s="31" t="s">
        <v>242</v>
      </c>
      <c r="L17" s="27" t="s">
        <v>243</v>
      </c>
      <c r="M17" s="27" t="s">
        <v>244</v>
      </c>
      <c r="N17" s="27" t="s">
        <v>245</v>
      </c>
      <c r="O17" s="27" t="s">
        <v>246</v>
      </c>
      <c r="P17" s="27" t="s">
        <v>152</v>
      </c>
      <c r="Q17" s="28" t="n">
        <v>3</v>
      </c>
      <c r="R17" s="32" t="s">
        <v>53</v>
      </c>
      <c r="S17" s="33"/>
      <c r="T17" s="35"/>
    </row>
    <row r="18" customFormat="false" ht="103.5" hidden="false" customHeight="true" outlineLevel="0" collapsed="false">
      <c r="A18" s="27" t="s">
        <v>247</v>
      </c>
      <c r="B18" s="28" t="s">
        <v>94</v>
      </c>
      <c r="C18" s="36" t="s">
        <v>61</v>
      </c>
      <c r="D18" s="28" t="n">
        <v>1</v>
      </c>
      <c r="E18" s="28" t="n">
        <v>1</v>
      </c>
      <c r="F18" s="28" t="n">
        <v>1</v>
      </c>
      <c r="G18" s="30" t="s">
        <v>248</v>
      </c>
      <c r="H18" s="27" t="s">
        <v>249</v>
      </c>
      <c r="I18" s="27" t="s">
        <v>250</v>
      </c>
      <c r="J18" s="31" t="s">
        <v>251</v>
      </c>
      <c r="K18" s="31" t="s">
        <v>252</v>
      </c>
      <c r="L18" s="27" t="s">
        <v>253</v>
      </c>
      <c r="M18" s="27" t="s">
        <v>254</v>
      </c>
      <c r="N18" s="27" t="s">
        <v>102</v>
      </c>
      <c r="O18" s="27" t="s">
        <v>255</v>
      </c>
      <c r="P18" s="27" t="s">
        <v>256</v>
      </c>
      <c r="Q18" s="28" t="n">
        <v>1</v>
      </c>
      <c r="R18" s="32" t="s">
        <v>53</v>
      </c>
      <c r="S18" s="33"/>
      <c r="T18" s="35"/>
    </row>
    <row r="19" customFormat="false" ht="103.5" hidden="false" customHeight="true" outlineLevel="0" collapsed="false">
      <c r="A19" s="27" t="s">
        <v>257</v>
      </c>
      <c r="B19" s="28" t="s">
        <v>94</v>
      </c>
      <c r="C19" s="36" t="s">
        <v>61</v>
      </c>
      <c r="D19" s="28" t="n">
        <v>1</v>
      </c>
      <c r="E19" s="28" t="n">
        <v>2</v>
      </c>
      <c r="F19" s="28" t="n">
        <v>2</v>
      </c>
      <c r="G19" s="30" t="s">
        <v>258</v>
      </c>
      <c r="H19" s="27" t="s">
        <v>259</v>
      </c>
      <c r="I19" s="27" t="s">
        <v>260</v>
      </c>
      <c r="J19" s="31" t="s">
        <v>261</v>
      </c>
      <c r="K19" s="31" t="s">
        <v>262</v>
      </c>
      <c r="L19" s="27" t="s">
        <v>263</v>
      </c>
      <c r="M19" s="27" t="s">
        <v>254</v>
      </c>
      <c r="N19" s="27" t="s">
        <v>112</v>
      </c>
      <c r="O19" s="27" t="s">
        <v>264</v>
      </c>
      <c r="P19" s="27" t="s">
        <v>256</v>
      </c>
      <c r="Q19" s="28" t="n">
        <v>1</v>
      </c>
      <c r="R19" s="32" t="s">
        <v>53</v>
      </c>
      <c r="S19" s="33"/>
      <c r="T19" s="35"/>
    </row>
    <row r="20" customFormat="false" ht="103.5" hidden="false" customHeight="true" outlineLevel="0" collapsed="false">
      <c r="A20" s="27" t="s">
        <v>265</v>
      </c>
      <c r="B20" s="28" t="s">
        <v>94</v>
      </c>
      <c r="C20" s="36" t="s">
        <v>61</v>
      </c>
      <c r="D20" s="28" t="n">
        <v>1</v>
      </c>
      <c r="E20" s="28" t="n">
        <v>3</v>
      </c>
      <c r="F20" s="28" t="n">
        <v>3</v>
      </c>
      <c r="G20" s="30" t="s">
        <v>266</v>
      </c>
      <c r="H20" s="27" t="s">
        <v>267</v>
      </c>
      <c r="I20" s="27" t="s">
        <v>268</v>
      </c>
      <c r="J20" s="31" t="s">
        <v>269</v>
      </c>
      <c r="K20" s="31" t="s">
        <v>270</v>
      </c>
      <c r="L20" s="27" t="s">
        <v>271</v>
      </c>
      <c r="M20" s="27" t="s">
        <v>254</v>
      </c>
      <c r="N20" s="27" t="s">
        <v>272</v>
      </c>
      <c r="O20" s="27" t="s">
        <v>273</v>
      </c>
      <c r="P20" s="27" t="s">
        <v>256</v>
      </c>
      <c r="Q20" s="28" t="n">
        <v>1</v>
      </c>
      <c r="R20" s="32" t="s">
        <v>53</v>
      </c>
      <c r="S20" s="33"/>
      <c r="T20" s="35"/>
    </row>
    <row r="21" customFormat="false" ht="103.5" hidden="false" customHeight="true" outlineLevel="0" collapsed="false">
      <c r="A21" s="27" t="s">
        <v>274</v>
      </c>
      <c r="B21" s="28" t="s">
        <v>94</v>
      </c>
      <c r="C21" s="36" t="s">
        <v>61</v>
      </c>
      <c r="D21" s="28" t="n">
        <v>1</v>
      </c>
      <c r="E21" s="28" t="n">
        <v>4</v>
      </c>
      <c r="F21" s="28" t="n">
        <v>4</v>
      </c>
      <c r="G21" s="30" t="s">
        <v>275</v>
      </c>
      <c r="H21" s="27" t="s">
        <v>276</v>
      </c>
      <c r="I21" s="27" t="s">
        <v>277</v>
      </c>
      <c r="J21" s="31" t="s">
        <v>278</v>
      </c>
      <c r="K21" s="31" t="s">
        <v>279</v>
      </c>
      <c r="L21" s="27" t="s">
        <v>280</v>
      </c>
      <c r="M21" s="27" t="s">
        <v>254</v>
      </c>
      <c r="N21" s="27" t="s">
        <v>281</v>
      </c>
      <c r="O21" s="27" t="s">
        <v>282</v>
      </c>
      <c r="P21" s="27" t="s">
        <v>256</v>
      </c>
      <c r="Q21" s="28" t="n">
        <v>1</v>
      </c>
      <c r="R21" s="32" t="s">
        <v>53</v>
      </c>
      <c r="S21" s="33"/>
      <c r="T21" s="35"/>
    </row>
    <row r="22" customFormat="false" ht="103.5" hidden="false" customHeight="true" outlineLevel="0" collapsed="false">
      <c r="A22" s="27" t="s">
        <v>283</v>
      </c>
      <c r="B22" s="28" t="s">
        <v>94</v>
      </c>
      <c r="C22" s="36" t="s">
        <v>61</v>
      </c>
      <c r="D22" s="28" t="n">
        <v>1</v>
      </c>
      <c r="E22" s="28" t="n">
        <v>5</v>
      </c>
      <c r="F22" s="28" t="n">
        <v>5</v>
      </c>
      <c r="G22" s="30" t="s">
        <v>284</v>
      </c>
      <c r="H22" s="27" t="s">
        <v>285</v>
      </c>
      <c r="I22" s="27" t="s">
        <v>286</v>
      </c>
      <c r="J22" s="31" t="s">
        <v>287</v>
      </c>
      <c r="K22" s="31" t="s">
        <v>288</v>
      </c>
      <c r="L22" s="27" t="s">
        <v>289</v>
      </c>
      <c r="M22" s="27" t="s">
        <v>290</v>
      </c>
      <c r="N22" s="27" t="s">
        <v>291</v>
      </c>
      <c r="O22" s="27" t="s">
        <v>292</v>
      </c>
      <c r="P22" s="27" t="s">
        <v>293</v>
      </c>
      <c r="Q22" s="28" t="n">
        <v>1</v>
      </c>
      <c r="R22" s="32" t="s">
        <v>53</v>
      </c>
      <c r="S22" s="33"/>
      <c r="T22" s="35"/>
    </row>
    <row r="23" customFormat="false" ht="103.5" hidden="false" customHeight="true" outlineLevel="0" collapsed="false">
      <c r="A23" s="27" t="s">
        <v>294</v>
      </c>
      <c r="B23" s="28" t="s">
        <v>94</v>
      </c>
      <c r="C23" s="36" t="s">
        <v>61</v>
      </c>
      <c r="D23" s="28" t="n">
        <v>2</v>
      </c>
      <c r="E23" s="28" t="n">
        <v>1</v>
      </c>
      <c r="F23" s="28" t="n">
        <v>6</v>
      </c>
      <c r="G23" s="30" t="s">
        <v>295</v>
      </c>
      <c r="H23" s="27" t="s">
        <v>296</v>
      </c>
      <c r="I23" s="27" t="s">
        <v>297</v>
      </c>
      <c r="J23" s="31" t="s">
        <v>298</v>
      </c>
      <c r="K23" s="31" t="s">
        <v>299</v>
      </c>
      <c r="L23" s="27" t="s">
        <v>300</v>
      </c>
      <c r="M23" s="27" t="s">
        <v>254</v>
      </c>
      <c r="N23" s="27" t="s">
        <v>140</v>
      </c>
      <c r="O23" s="27" t="s">
        <v>301</v>
      </c>
      <c r="P23" s="27" t="s">
        <v>256</v>
      </c>
      <c r="Q23" s="28" t="n">
        <v>1</v>
      </c>
      <c r="R23" s="32" t="s">
        <v>53</v>
      </c>
      <c r="S23" s="33"/>
      <c r="T23" s="35"/>
    </row>
    <row r="24" customFormat="false" ht="103.5" hidden="false" customHeight="true" outlineLevel="0" collapsed="false">
      <c r="A24" s="27" t="s">
        <v>302</v>
      </c>
      <c r="B24" s="28" t="s">
        <v>94</v>
      </c>
      <c r="C24" s="36" t="s">
        <v>61</v>
      </c>
      <c r="D24" s="28" t="n">
        <v>2</v>
      </c>
      <c r="E24" s="28" t="n">
        <v>2</v>
      </c>
      <c r="F24" s="28" t="n">
        <v>7</v>
      </c>
      <c r="G24" s="30" t="s">
        <v>303</v>
      </c>
      <c r="H24" s="27" t="s">
        <v>304</v>
      </c>
      <c r="I24" s="27" t="s">
        <v>305</v>
      </c>
      <c r="J24" s="31" t="s">
        <v>306</v>
      </c>
      <c r="K24" s="31" t="s">
        <v>307</v>
      </c>
      <c r="L24" s="27" t="s">
        <v>308</v>
      </c>
      <c r="M24" s="27" t="s">
        <v>254</v>
      </c>
      <c r="N24" s="27" t="s">
        <v>179</v>
      </c>
      <c r="O24" s="27" t="s">
        <v>309</v>
      </c>
      <c r="P24" s="27" t="s">
        <v>256</v>
      </c>
      <c r="Q24" s="28" t="n">
        <v>1</v>
      </c>
      <c r="R24" s="32" t="s">
        <v>53</v>
      </c>
      <c r="S24" s="33"/>
      <c r="T24" s="35"/>
    </row>
    <row r="25" customFormat="false" ht="103.5" hidden="false" customHeight="true" outlineLevel="0" collapsed="false">
      <c r="A25" s="27" t="s">
        <v>310</v>
      </c>
      <c r="B25" s="28" t="s">
        <v>94</v>
      </c>
      <c r="C25" s="36" t="s">
        <v>61</v>
      </c>
      <c r="D25" s="28" t="n">
        <v>2</v>
      </c>
      <c r="E25" s="28" t="n">
        <v>3</v>
      </c>
      <c r="F25" s="28" t="n">
        <v>8</v>
      </c>
      <c r="G25" s="30" t="s">
        <v>311</v>
      </c>
      <c r="H25" s="27" t="s">
        <v>312</v>
      </c>
      <c r="I25" s="27" t="s">
        <v>313</v>
      </c>
      <c r="J25" s="31" t="s">
        <v>314</v>
      </c>
      <c r="K25" s="31" t="s">
        <v>315</v>
      </c>
      <c r="L25" s="27" t="s">
        <v>316</v>
      </c>
      <c r="M25" s="27" t="s">
        <v>317</v>
      </c>
      <c r="N25" s="27" t="s">
        <v>150</v>
      </c>
      <c r="O25" s="27" t="s">
        <v>318</v>
      </c>
      <c r="P25" s="27" t="s">
        <v>256</v>
      </c>
      <c r="Q25" s="28" t="n">
        <v>1</v>
      </c>
      <c r="R25" s="32" t="s">
        <v>53</v>
      </c>
      <c r="S25" s="33"/>
      <c r="T25" s="35"/>
    </row>
    <row r="26" customFormat="false" ht="103.5" hidden="false" customHeight="true" outlineLevel="0" collapsed="false">
      <c r="A26" s="27" t="s">
        <v>319</v>
      </c>
      <c r="B26" s="28" t="s">
        <v>94</v>
      </c>
      <c r="C26" s="36" t="s">
        <v>61</v>
      </c>
      <c r="D26" s="28" t="n">
        <v>2</v>
      </c>
      <c r="E26" s="28" t="n">
        <v>4</v>
      </c>
      <c r="F26" s="28" t="n">
        <v>9</v>
      </c>
      <c r="G26" s="30" t="s">
        <v>320</v>
      </c>
      <c r="H26" s="27" t="s">
        <v>321</v>
      </c>
      <c r="I26" s="27" t="s">
        <v>322</v>
      </c>
      <c r="J26" s="31" t="s">
        <v>323</v>
      </c>
      <c r="K26" s="31" t="s">
        <v>324</v>
      </c>
      <c r="L26" s="27" t="s">
        <v>325</v>
      </c>
      <c r="M26" s="27" t="s">
        <v>254</v>
      </c>
      <c r="N26" s="27" t="s">
        <v>281</v>
      </c>
      <c r="O26" s="27" t="s">
        <v>326</v>
      </c>
      <c r="P26" s="27" t="s">
        <v>256</v>
      </c>
      <c r="Q26" s="28" t="n">
        <v>1</v>
      </c>
      <c r="R26" s="32" t="s">
        <v>53</v>
      </c>
      <c r="S26" s="33"/>
      <c r="T26" s="35"/>
    </row>
    <row r="27" customFormat="false" ht="103.5" hidden="false" customHeight="true" outlineLevel="0" collapsed="false">
      <c r="A27" s="27" t="s">
        <v>327</v>
      </c>
      <c r="B27" s="28" t="s">
        <v>94</v>
      </c>
      <c r="C27" s="36" t="s">
        <v>61</v>
      </c>
      <c r="D27" s="28" t="n">
        <v>2</v>
      </c>
      <c r="E27" s="28" t="n">
        <v>5</v>
      </c>
      <c r="F27" s="28" t="n">
        <v>10</v>
      </c>
      <c r="G27" s="30" t="s">
        <v>328</v>
      </c>
      <c r="H27" s="27" t="s">
        <v>329</v>
      </c>
      <c r="I27" s="27" t="s">
        <v>330</v>
      </c>
      <c r="J27" s="31" t="s">
        <v>331</v>
      </c>
      <c r="K27" s="31" t="s">
        <v>332</v>
      </c>
      <c r="L27" s="27" t="s">
        <v>333</v>
      </c>
      <c r="M27" s="27" t="s">
        <v>290</v>
      </c>
      <c r="N27" s="27" t="s">
        <v>291</v>
      </c>
      <c r="O27" s="27" t="s">
        <v>334</v>
      </c>
      <c r="P27" s="27" t="s">
        <v>293</v>
      </c>
      <c r="Q27" s="28" t="n">
        <v>1</v>
      </c>
      <c r="R27" s="32" t="s">
        <v>53</v>
      </c>
      <c r="S27" s="33"/>
      <c r="T27" s="35"/>
    </row>
    <row r="28" customFormat="false" ht="103.5" hidden="false" customHeight="true" outlineLevel="0" collapsed="false">
      <c r="A28" s="27" t="s">
        <v>335</v>
      </c>
      <c r="B28" s="28" t="s">
        <v>94</v>
      </c>
      <c r="C28" s="36" t="s">
        <v>61</v>
      </c>
      <c r="D28" s="28" t="n">
        <v>3</v>
      </c>
      <c r="E28" s="28" t="n">
        <v>1</v>
      </c>
      <c r="F28" s="28" t="n">
        <v>11</v>
      </c>
      <c r="G28" s="30" t="s">
        <v>336</v>
      </c>
      <c r="H28" s="27" t="s">
        <v>337</v>
      </c>
      <c r="I28" s="27" t="s">
        <v>338</v>
      </c>
      <c r="J28" s="31" t="s">
        <v>339</v>
      </c>
      <c r="K28" s="31" t="s">
        <v>340</v>
      </c>
      <c r="L28" s="27" t="s">
        <v>341</v>
      </c>
      <c r="M28" s="27" t="s">
        <v>254</v>
      </c>
      <c r="N28" s="27" t="s">
        <v>179</v>
      </c>
      <c r="O28" s="27" t="s">
        <v>342</v>
      </c>
      <c r="P28" s="27" t="s">
        <v>256</v>
      </c>
      <c r="Q28" s="28" t="n">
        <v>3</v>
      </c>
      <c r="R28" s="32" t="s">
        <v>53</v>
      </c>
      <c r="S28" s="33"/>
      <c r="T28" s="35"/>
    </row>
    <row r="29" customFormat="false" ht="103.5" hidden="false" customHeight="true" outlineLevel="0" collapsed="false">
      <c r="A29" s="27" t="s">
        <v>343</v>
      </c>
      <c r="B29" s="28" t="s">
        <v>94</v>
      </c>
      <c r="C29" s="36" t="s">
        <v>61</v>
      </c>
      <c r="D29" s="28" t="n">
        <v>3</v>
      </c>
      <c r="E29" s="28" t="n">
        <v>2</v>
      </c>
      <c r="F29" s="28" t="n">
        <v>12</v>
      </c>
      <c r="G29" s="30" t="s">
        <v>344</v>
      </c>
      <c r="H29" s="27" t="s">
        <v>345</v>
      </c>
      <c r="I29" s="27" t="s">
        <v>346</v>
      </c>
      <c r="J29" s="31" t="s">
        <v>347</v>
      </c>
      <c r="K29" s="31" t="s">
        <v>348</v>
      </c>
      <c r="L29" s="27" t="s">
        <v>349</v>
      </c>
      <c r="M29" s="27" t="s">
        <v>254</v>
      </c>
      <c r="N29" s="27" t="s">
        <v>190</v>
      </c>
      <c r="O29" s="27" t="s">
        <v>350</v>
      </c>
      <c r="P29" s="27" t="s">
        <v>256</v>
      </c>
      <c r="Q29" s="28" t="n">
        <v>3</v>
      </c>
      <c r="R29" s="32" t="s">
        <v>53</v>
      </c>
      <c r="S29" s="33"/>
      <c r="T29" s="35"/>
    </row>
    <row r="30" customFormat="false" ht="103.5" hidden="false" customHeight="true" outlineLevel="0" collapsed="false">
      <c r="A30" s="27" t="s">
        <v>351</v>
      </c>
      <c r="B30" s="28" t="s">
        <v>94</v>
      </c>
      <c r="C30" s="36" t="s">
        <v>61</v>
      </c>
      <c r="D30" s="28" t="n">
        <v>3</v>
      </c>
      <c r="E30" s="28" t="n">
        <v>3</v>
      </c>
      <c r="F30" s="28" t="n">
        <v>13</v>
      </c>
      <c r="G30" s="30" t="s">
        <v>352</v>
      </c>
      <c r="H30" s="27" t="s">
        <v>353</v>
      </c>
      <c r="I30" s="27" t="s">
        <v>354</v>
      </c>
      <c r="J30" s="31" t="s">
        <v>355</v>
      </c>
      <c r="K30" s="31" t="s">
        <v>356</v>
      </c>
      <c r="L30" s="27" t="s">
        <v>357</v>
      </c>
      <c r="M30" s="27" t="s">
        <v>358</v>
      </c>
      <c r="N30" s="27" t="s">
        <v>359</v>
      </c>
      <c r="O30" s="27"/>
      <c r="P30" s="27" t="s">
        <v>256</v>
      </c>
      <c r="Q30" s="28" t="n">
        <v>3</v>
      </c>
      <c r="R30" s="32" t="s">
        <v>53</v>
      </c>
      <c r="S30" s="33"/>
      <c r="T30" s="35"/>
    </row>
    <row r="31" customFormat="false" ht="103.5" hidden="false" customHeight="true" outlineLevel="0" collapsed="false">
      <c r="A31" s="27" t="s">
        <v>360</v>
      </c>
      <c r="B31" s="28" t="s">
        <v>94</v>
      </c>
      <c r="C31" s="36" t="s">
        <v>61</v>
      </c>
      <c r="D31" s="28" t="n">
        <v>3</v>
      </c>
      <c r="E31" s="28" t="n">
        <v>4</v>
      </c>
      <c r="F31" s="28" t="n">
        <v>14</v>
      </c>
      <c r="G31" s="30" t="s">
        <v>361</v>
      </c>
      <c r="H31" s="27" t="s">
        <v>362</v>
      </c>
      <c r="I31" s="27" t="s">
        <v>363</v>
      </c>
      <c r="J31" s="31" t="s">
        <v>364</v>
      </c>
      <c r="K31" s="31" t="s">
        <v>365</v>
      </c>
      <c r="L31" s="27" t="s">
        <v>366</v>
      </c>
      <c r="M31" s="27" t="s">
        <v>367</v>
      </c>
      <c r="N31" s="27" t="s">
        <v>179</v>
      </c>
      <c r="O31" s="27" t="s">
        <v>368</v>
      </c>
      <c r="P31" s="27" t="s">
        <v>256</v>
      </c>
      <c r="Q31" s="28" t="n">
        <v>3</v>
      </c>
      <c r="R31" s="32" t="s">
        <v>53</v>
      </c>
      <c r="S31" s="33"/>
      <c r="T31" s="35"/>
    </row>
    <row r="32" customFormat="false" ht="103.5" hidden="false" customHeight="true" outlineLevel="0" collapsed="false">
      <c r="A32" s="27" t="s">
        <v>369</v>
      </c>
      <c r="B32" s="28" t="s">
        <v>94</v>
      </c>
      <c r="C32" s="36" t="s">
        <v>61</v>
      </c>
      <c r="D32" s="28" t="n">
        <v>3</v>
      </c>
      <c r="E32" s="28" t="n">
        <v>5</v>
      </c>
      <c r="F32" s="28" t="n">
        <v>15</v>
      </c>
      <c r="G32" s="30" t="s">
        <v>370</v>
      </c>
      <c r="H32" s="27" t="s">
        <v>371</v>
      </c>
      <c r="I32" s="27" t="s">
        <v>372</v>
      </c>
      <c r="J32" s="31" t="s">
        <v>373</v>
      </c>
      <c r="K32" s="31" t="s">
        <v>374</v>
      </c>
      <c r="L32" s="27" t="s">
        <v>375</v>
      </c>
      <c r="M32" s="27" t="s">
        <v>376</v>
      </c>
      <c r="N32" s="27" t="s">
        <v>291</v>
      </c>
      <c r="O32" s="27" t="s">
        <v>377</v>
      </c>
      <c r="P32" s="27" t="s">
        <v>293</v>
      </c>
      <c r="Q32" s="28" t="n">
        <v>3</v>
      </c>
      <c r="R32" s="32" t="s">
        <v>53</v>
      </c>
      <c r="S32" s="33"/>
      <c r="T32" s="35"/>
    </row>
    <row r="33" customFormat="false" ht="103.5" hidden="false" customHeight="true" outlineLevel="0" collapsed="false">
      <c r="A33" s="27" t="s">
        <v>378</v>
      </c>
      <c r="B33" s="28" t="s">
        <v>94</v>
      </c>
      <c r="C33" s="36" t="s">
        <v>61</v>
      </c>
      <c r="D33" s="28" t="n">
        <v>4</v>
      </c>
      <c r="E33" s="28" t="n">
        <v>1</v>
      </c>
      <c r="F33" s="28" t="n">
        <v>16</v>
      </c>
      <c r="G33" s="30" t="s">
        <v>379</v>
      </c>
      <c r="H33" s="27" t="s">
        <v>380</v>
      </c>
      <c r="I33" s="27" t="s">
        <v>381</v>
      </c>
      <c r="J33" s="31" t="s">
        <v>382</v>
      </c>
      <c r="K33" s="31" t="s">
        <v>383</v>
      </c>
      <c r="L33" s="27" t="s">
        <v>384</v>
      </c>
      <c r="M33" s="27" t="s">
        <v>385</v>
      </c>
      <c r="N33" s="27" t="s">
        <v>217</v>
      </c>
      <c r="O33" s="27" t="s">
        <v>386</v>
      </c>
      <c r="P33" s="27" t="s">
        <v>256</v>
      </c>
      <c r="Q33" s="28" t="n">
        <v>3</v>
      </c>
      <c r="R33" s="32" t="s">
        <v>53</v>
      </c>
      <c r="S33" s="33"/>
      <c r="T33" s="35"/>
    </row>
    <row r="34" customFormat="false" ht="103.5" hidden="false" customHeight="true" outlineLevel="0" collapsed="false">
      <c r="A34" s="27" t="s">
        <v>387</v>
      </c>
      <c r="B34" s="28" t="s">
        <v>94</v>
      </c>
      <c r="C34" s="36" t="s">
        <v>61</v>
      </c>
      <c r="D34" s="28" t="n">
        <v>4</v>
      </c>
      <c r="E34" s="28" t="n">
        <v>2</v>
      </c>
      <c r="F34" s="28" t="n">
        <v>17</v>
      </c>
      <c r="G34" s="30" t="s">
        <v>388</v>
      </c>
      <c r="H34" s="27" t="s">
        <v>389</v>
      </c>
      <c r="I34" s="27" t="s">
        <v>390</v>
      </c>
      <c r="J34" s="31" t="s">
        <v>391</v>
      </c>
      <c r="K34" s="31" t="s">
        <v>392</v>
      </c>
      <c r="L34" s="27" t="s">
        <v>393</v>
      </c>
      <c r="M34" s="27" t="s">
        <v>254</v>
      </c>
      <c r="N34" s="27" t="s">
        <v>208</v>
      </c>
      <c r="O34" s="27" t="s">
        <v>394</v>
      </c>
      <c r="P34" s="27" t="s">
        <v>256</v>
      </c>
      <c r="Q34" s="28" t="n">
        <v>3</v>
      </c>
      <c r="R34" s="32" t="s">
        <v>53</v>
      </c>
      <c r="S34" s="33"/>
      <c r="T34" s="35"/>
    </row>
    <row r="35" customFormat="false" ht="103.5" hidden="false" customHeight="true" outlineLevel="0" collapsed="false">
      <c r="A35" s="27" t="s">
        <v>395</v>
      </c>
      <c r="B35" s="28" t="s">
        <v>94</v>
      </c>
      <c r="C35" s="36" t="s">
        <v>61</v>
      </c>
      <c r="D35" s="28" t="n">
        <v>4</v>
      </c>
      <c r="E35" s="28" t="n">
        <v>3</v>
      </c>
      <c r="F35" s="28" t="n">
        <v>18</v>
      </c>
      <c r="G35" s="30" t="s">
        <v>396</v>
      </c>
      <c r="H35" s="27" t="s">
        <v>397</v>
      </c>
      <c r="I35" s="27" t="s">
        <v>398</v>
      </c>
      <c r="J35" s="31" t="s">
        <v>399</v>
      </c>
      <c r="K35" s="31" t="s">
        <v>400</v>
      </c>
      <c r="L35" s="27" t="s">
        <v>401</v>
      </c>
      <c r="M35" s="27" t="s">
        <v>385</v>
      </c>
      <c r="N35" s="27" t="s">
        <v>235</v>
      </c>
      <c r="O35" s="27" t="s">
        <v>402</v>
      </c>
      <c r="P35" s="27" t="s">
        <v>256</v>
      </c>
      <c r="Q35" s="28" t="n">
        <v>3</v>
      </c>
      <c r="R35" s="32" t="s">
        <v>53</v>
      </c>
      <c r="S35" s="33"/>
      <c r="T35" s="35"/>
    </row>
    <row r="36" customFormat="false" ht="103.5" hidden="false" customHeight="true" outlineLevel="0" collapsed="false">
      <c r="A36" s="27" t="s">
        <v>403</v>
      </c>
      <c r="B36" s="28" t="s">
        <v>94</v>
      </c>
      <c r="C36" s="36" t="s">
        <v>61</v>
      </c>
      <c r="D36" s="28" t="n">
        <v>4</v>
      </c>
      <c r="E36" s="28" t="n">
        <v>4</v>
      </c>
      <c r="F36" s="28" t="n">
        <v>19</v>
      </c>
      <c r="G36" s="30" t="s">
        <v>404</v>
      </c>
      <c r="H36" s="27" t="s">
        <v>405</v>
      </c>
      <c r="I36" s="27" t="s">
        <v>406</v>
      </c>
      <c r="J36" s="31" t="s">
        <v>407</v>
      </c>
      <c r="K36" s="31" t="s">
        <v>408</v>
      </c>
      <c r="L36" s="27" t="s">
        <v>409</v>
      </c>
      <c r="M36" s="27" t="s">
        <v>410</v>
      </c>
      <c r="N36" s="27" t="s">
        <v>411</v>
      </c>
      <c r="O36" s="27"/>
      <c r="P36" s="27" t="s">
        <v>256</v>
      </c>
      <c r="Q36" s="28" t="n">
        <v>3</v>
      </c>
      <c r="R36" s="32" t="s">
        <v>53</v>
      </c>
      <c r="S36" s="33"/>
      <c r="T36" s="35"/>
    </row>
    <row r="37" customFormat="false" ht="103.5" hidden="false" customHeight="true" outlineLevel="0" collapsed="false">
      <c r="A37" s="27" t="s">
        <v>412</v>
      </c>
      <c r="B37" s="28" t="s">
        <v>94</v>
      </c>
      <c r="C37" s="36" t="s">
        <v>61</v>
      </c>
      <c r="D37" s="28" t="n">
        <v>4</v>
      </c>
      <c r="E37" s="28" t="n">
        <v>5</v>
      </c>
      <c r="F37" s="28" t="n">
        <v>20</v>
      </c>
      <c r="G37" s="30" t="s">
        <v>413</v>
      </c>
      <c r="H37" s="27" t="s">
        <v>414</v>
      </c>
      <c r="I37" s="27" t="s">
        <v>415</v>
      </c>
      <c r="J37" s="31" t="s">
        <v>416</v>
      </c>
      <c r="K37" s="31" t="s">
        <v>417</v>
      </c>
      <c r="L37" s="27" t="s">
        <v>418</v>
      </c>
      <c r="M37" s="27" t="s">
        <v>419</v>
      </c>
      <c r="N37" s="27" t="s">
        <v>420</v>
      </c>
      <c r="O37" s="27"/>
      <c r="P37" s="27" t="s">
        <v>293</v>
      </c>
      <c r="Q37" s="28" t="n">
        <v>3</v>
      </c>
      <c r="R37" s="32" t="s">
        <v>53</v>
      </c>
      <c r="S37" s="33"/>
      <c r="T37" s="35"/>
    </row>
    <row r="38" customFormat="false" ht="103.5" hidden="false" customHeight="true" outlineLevel="0" collapsed="false">
      <c r="A38" s="27" t="s">
        <v>421</v>
      </c>
      <c r="B38" s="28" t="s">
        <v>94</v>
      </c>
      <c r="C38" s="37" t="s">
        <v>62</v>
      </c>
      <c r="D38" s="28" t="n">
        <v>1</v>
      </c>
      <c r="E38" s="28" t="n">
        <v>1</v>
      </c>
      <c r="F38" s="28" t="n">
        <v>1</v>
      </c>
      <c r="G38" s="30" t="s">
        <v>422</v>
      </c>
      <c r="H38" s="27" t="s">
        <v>423</v>
      </c>
      <c r="I38" s="27" t="s">
        <v>424</v>
      </c>
      <c r="J38" s="31" t="s">
        <v>425</v>
      </c>
      <c r="K38" s="31" t="s">
        <v>426</v>
      </c>
      <c r="L38" s="27" t="s">
        <v>427</v>
      </c>
      <c r="M38" s="27" t="s">
        <v>428</v>
      </c>
      <c r="N38" s="27" t="s">
        <v>131</v>
      </c>
      <c r="O38" s="27" t="s">
        <v>429</v>
      </c>
      <c r="P38" s="27" t="s">
        <v>430</v>
      </c>
      <c r="Q38" s="28" t="n">
        <v>2</v>
      </c>
      <c r="R38" s="32" t="s">
        <v>53</v>
      </c>
      <c r="S38" s="33"/>
      <c r="T38" s="35"/>
    </row>
    <row r="39" customFormat="false" ht="103.5" hidden="false" customHeight="true" outlineLevel="0" collapsed="false">
      <c r="A39" s="27" t="s">
        <v>431</v>
      </c>
      <c r="B39" s="28" t="s">
        <v>94</v>
      </c>
      <c r="C39" s="37" t="s">
        <v>62</v>
      </c>
      <c r="D39" s="28" t="n">
        <v>1</v>
      </c>
      <c r="E39" s="28" t="n">
        <v>2</v>
      </c>
      <c r="F39" s="28" t="n">
        <v>2</v>
      </c>
      <c r="G39" s="30" t="s">
        <v>432</v>
      </c>
      <c r="H39" s="27" t="s">
        <v>433</v>
      </c>
      <c r="I39" s="27" t="s">
        <v>434</v>
      </c>
      <c r="J39" s="31" t="s">
        <v>435</v>
      </c>
      <c r="K39" s="31" t="s">
        <v>436</v>
      </c>
      <c r="L39" s="27" t="s">
        <v>437</v>
      </c>
      <c r="M39" s="27" t="s">
        <v>438</v>
      </c>
      <c r="N39" s="27" t="s">
        <v>102</v>
      </c>
      <c r="O39" s="27" t="s">
        <v>439</v>
      </c>
      <c r="P39" s="27" t="s">
        <v>440</v>
      </c>
      <c r="Q39" s="28" t="n">
        <v>2</v>
      </c>
      <c r="R39" s="32" t="s">
        <v>53</v>
      </c>
      <c r="S39" s="33"/>
      <c r="T39" s="35"/>
    </row>
    <row r="40" customFormat="false" ht="103.5" hidden="false" customHeight="true" outlineLevel="0" collapsed="false">
      <c r="A40" s="27" t="s">
        <v>441</v>
      </c>
      <c r="B40" s="28" t="s">
        <v>94</v>
      </c>
      <c r="C40" s="37" t="s">
        <v>62</v>
      </c>
      <c r="D40" s="28" t="n">
        <v>1</v>
      </c>
      <c r="E40" s="28" t="n">
        <v>3</v>
      </c>
      <c r="F40" s="28" t="n">
        <v>3</v>
      </c>
      <c r="G40" s="30" t="s">
        <v>442</v>
      </c>
      <c r="H40" s="27" t="s">
        <v>443</v>
      </c>
      <c r="I40" s="27" t="s">
        <v>444</v>
      </c>
      <c r="J40" s="31" t="s">
        <v>445</v>
      </c>
      <c r="K40" s="31" t="s">
        <v>446</v>
      </c>
      <c r="L40" s="27" t="s">
        <v>447</v>
      </c>
      <c r="M40" s="27" t="s">
        <v>448</v>
      </c>
      <c r="N40" s="27" t="s">
        <v>170</v>
      </c>
      <c r="O40" s="27" t="s">
        <v>449</v>
      </c>
      <c r="P40" s="27" t="s">
        <v>440</v>
      </c>
      <c r="Q40" s="28" t="n">
        <v>2</v>
      </c>
      <c r="R40" s="32" t="s">
        <v>53</v>
      </c>
      <c r="S40" s="33"/>
      <c r="T40" s="35"/>
    </row>
    <row r="41" customFormat="false" ht="103.5" hidden="false" customHeight="true" outlineLevel="0" collapsed="false">
      <c r="A41" s="27" t="s">
        <v>450</v>
      </c>
      <c r="B41" s="28" t="s">
        <v>94</v>
      </c>
      <c r="C41" s="37" t="s">
        <v>62</v>
      </c>
      <c r="D41" s="28" t="n">
        <v>1</v>
      </c>
      <c r="E41" s="28" t="n">
        <v>4</v>
      </c>
      <c r="F41" s="28" t="n">
        <v>4</v>
      </c>
      <c r="G41" s="30" t="s">
        <v>451</v>
      </c>
      <c r="H41" s="27" t="s">
        <v>452</v>
      </c>
      <c r="I41" s="27" t="s">
        <v>453</v>
      </c>
      <c r="J41" s="31" t="s">
        <v>454</v>
      </c>
      <c r="K41" s="31" t="s">
        <v>455</v>
      </c>
      <c r="L41" s="27" t="s">
        <v>456</v>
      </c>
      <c r="M41" s="27" t="s">
        <v>428</v>
      </c>
      <c r="N41" s="27" t="s">
        <v>131</v>
      </c>
      <c r="O41" s="27" t="s">
        <v>457</v>
      </c>
      <c r="P41" s="27" t="s">
        <v>430</v>
      </c>
      <c r="Q41" s="28" t="n">
        <v>2</v>
      </c>
      <c r="R41" s="32" t="s">
        <v>53</v>
      </c>
      <c r="S41" s="33"/>
      <c r="T41" s="35"/>
    </row>
    <row r="42" customFormat="false" ht="103.5" hidden="false" customHeight="true" outlineLevel="0" collapsed="false">
      <c r="A42" s="27" t="s">
        <v>458</v>
      </c>
      <c r="B42" s="28" t="s">
        <v>94</v>
      </c>
      <c r="C42" s="37" t="s">
        <v>62</v>
      </c>
      <c r="D42" s="28" t="n">
        <v>2</v>
      </c>
      <c r="E42" s="28" t="n">
        <v>1</v>
      </c>
      <c r="F42" s="28" t="n">
        <v>5</v>
      </c>
      <c r="G42" s="30" t="s">
        <v>459</v>
      </c>
      <c r="H42" s="27" t="s">
        <v>460</v>
      </c>
      <c r="I42" s="27" t="s">
        <v>461</v>
      </c>
      <c r="J42" s="31" t="s">
        <v>462</v>
      </c>
      <c r="K42" s="31" t="s">
        <v>463</v>
      </c>
      <c r="L42" s="27" t="s">
        <v>464</v>
      </c>
      <c r="M42" s="27" t="s">
        <v>465</v>
      </c>
      <c r="N42" s="27" t="s">
        <v>466</v>
      </c>
      <c r="O42" s="27" t="s">
        <v>467</v>
      </c>
      <c r="P42" s="27" t="s">
        <v>468</v>
      </c>
      <c r="Q42" s="28" t="n">
        <v>2</v>
      </c>
      <c r="R42" s="32" t="s">
        <v>53</v>
      </c>
      <c r="S42" s="33"/>
      <c r="T42" s="35"/>
    </row>
    <row r="43" customFormat="false" ht="103.5" hidden="false" customHeight="true" outlineLevel="0" collapsed="false">
      <c r="A43" s="27" t="s">
        <v>469</v>
      </c>
      <c r="B43" s="28" t="s">
        <v>94</v>
      </c>
      <c r="C43" s="37" t="s">
        <v>62</v>
      </c>
      <c r="D43" s="28" t="n">
        <v>2</v>
      </c>
      <c r="E43" s="28" t="n">
        <v>2</v>
      </c>
      <c r="F43" s="28" t="n">
        <v>6</v>
      </c>
      <c r="G43" s="30" t="s">
        <v>470</v>
      </c>
      <c r="H43" s="27" t="s">
        <v>471</v>
      </c>
      <c r="I43" s="27" t="s">
        <v>472</v>
      </c>
      <c r="J43" s="31" t="s">
        <v>473</v>
      </c>
      <c r="K43" s="31" t="s">
        <v>474</v>
      </c>
      <c r="L43" s="27" t="s">
        <v>475</v>
      </c>
      <c r="M43" s="27" t="s">
        <v>476</v>
      </c>
      <c r="N43" s="27" t="s">
        <v>122</v>
      </c>
      <c r="O43" s="27" t="s">
        <v>477</v>
      </c>
      <c r="P43" s="27" t="s">
        <v>478</v>
      </c>
      <c r="Q43" s="28" t="n">
        <v>2</v>
      </c>
      <c r="R43" s="32" t="s">
        <v>53</v>
      </c>
      <c r="S43" s="33"/>
      <c r="T43" s="35"/>
    </row>
    <row r="44" customFormat="false" ht="103.5" hidden="false" customHeight="true" outlineLevel="0" collapsed="false">
      <c r="A44" s="27" t="s">
        <v>479</v>
      </c>
      <c r="B44" s="28" t="s">
        <v>94</v>
      </c>
      <c r="C44" s="37" t="s">
        <v>62</v>
      </c>
      <c r="D44" s="28" t="n">
        <v>2</v>
      </c>
      <c r="E44" s="28" t="n">
        <v>3</v>
      </c>
      <c r="F44" s="28" t="n">
        <v>7</v>
      </c>
      <c r="G44" s="30" t="s">
        <v>480</v>
      </c>
      <c r="H44" s="27" t="s">
        <v>481</v>
      </c>
      <c r="I44" s="27" t="s">
        <v>482</v>
      </c>
      <c r="J44" s="31" t="s">
        <v>483</v>
      </c>
      <c r="K44" s="31" t="s">
        <v>484</v>
      </c>
      <c r="L44" s="27" t="s">
        <v>485</v>
      </c>
      <c r="M44" s="27" t="s">
        <v>486</v>
      </c>
      <c r="N44" s="27" t="s">
        <v>150</v>
      </c>
      <c r="O44" s="27" t="s">
        <v>487</v>
      </c>
      <c r="P44" s="27" t="s">
        <v>478</v>
      </c>
      <c r="Q44" s="28" t="n">
        <v>2</v>
      </c>
      <c r="R44" s="32" t="s">
        <v>53</v>
      </c>
      <c r="S44" s="33"/>
      <c r="T44" s="35"/>
    </row>
    <row r="45" customFormat="false" ht="103.5" hidden="false" customHeight="true" outlineLevel="0" collapsed="false">
      <c r="A45" s="27" t="s">
        <v>488</v>
      </c>
      <c r="B45" s="28" t="s">
        <v>94</v>
      </c>
      <c r="C45" s="37" t="s">
        <v>62</v>
      </c>
      <c r="D45" s="28" t="n">
        <v>2</v>
      </c>
      <c r="E45" s="28" t="n">
        <v>4</v>
      </c>
      <c r="F45" s="28" t="n">
        <v>8</v>
      </c>
      <c r="G45" s="30" t="s">
        <v>489</v>
      </c>
      <c r="H45" s="27" t="s">
        <v>490</v>
      </c>
      <c r="I45" s="27" t="s">
        <v>491</v>
      </c>
      <c r="J45" s="31" t="s">
        <v>492</v>
      </c>
      <c r="K45" s="31" t="s">
        <v>493</v>
      </c>
      <c r="L45" s="27" t="s">
        <v>494</v>
      </c>
      <c r="M45" s="27" t="s">
        <v>438</v>
      </c>
      <c r="N45" s="27" t="s">
        <v>466</v>
      </c>
      <c r="O45" s="27" t="s">
        <v>495</v>
      </c>
      <c r="P45" s="27" t="s">
        <v>468</v>
      </c>
      <c r="Q45" s="28" t="n">
        <v>2</v>
      </c>
      <c r="R45" s="32" t="s">
        <v>53</v>
      </c>
      <c r="S45" s="33"/>
      <c r="T45" s="35"/>
    </row>
    <row r="46" customFormat="false" ht="103.5" hidden="false" customHeight="true" outlineLevel="0" collapsed="false">
      <c r="A46" s="27" t="s">
        <v>496</v>
      </c>
      <c r="B46" s="28" t="s">
        <v>94</v>
      </c>
      <c r="C46" s="37" t="s">
        <v>62</v>
      </c>
      <c r="D46" s="28" t="n">
        <v>3</v>
      </c>
      <c r="E46" s="28" t="n">
        <v>1</v>
      </c>
      <c r="F46" s="28" t="n">
        <v>9</v>
      </c>
      <c r="G46" s="30" t="s">
        <v>497</v>
      </c>
      <c r="H46" s="27" t="s">
        <v>498</v>
      </c>
      <c r="I46" s="27" t="s">
        <v>499</v>
      </c>
      <c r="J46" s="31" t="s">
        <v>500</v>
      </c>
      <c r="K46" s="31" t="s">
        <v>501</v>
      </c>
      <c r="L46" s="27" t="s">
        <v>502</v>
      </c>
      <c r="M46" s="27" t="s">
        <v>503</v>
      </c>
      <c r="N46" s="27" t="s">
        <v>190</v>
      </c>
      <c r="O46" s="27" t="s">
        <v>504</v>
      </c>
      <c r="P46" s="27" t="s">
        <v>478</v>
      </c>
      <c r="Q46" s="28" t="n">
        <v>3</v>
      </c>
      <c r="R46" s="32" t="s">
        <v>53</v>
      </c>
      <c r="S46" s="33"/>
      <c r="T46" s="35"/>
    </row>
    <row r="47" customFormat="false" ht="103.5" hidden="false" customHeight="true" outlineLevel="0" collapsed="false">
      <c r="A47" s="27" t="s">
        <v>505</v>
      </c>
      <c r="B47" s="28" t="s">
        <v>94</v>
      </c>
      <c r="C47" s="37" t="s">
        <v>62</v>
      </c>
      <c r="D47" s="28" t="n">
        <v>3</v>
      </c>
      <c r="E47" s="28" t="n">
        <v>2</v>
      </c>
      <c r="F47" s="28" t="n">
        <v>10</v>
      </c>
      <c r="G47" s="30" t="s">
        <v>506</v>
      </c>
      <c r="H47" s="27" t="s">
        <v>507</v>
      </c>
      <c r="I47" s="27" t="s">
        <v>508</v>
      </c>
      <c r="J47" s="31" t="s">
        <v>509</v>
      </c>
      <c r="K47" s="31" t="s">
        <v>510</v>
      </c>
      <c r="L47" s="27" t="s">
        <v>511</v>
      </c>
      <c r="M47" s="27" t="s">
        <v>512</v>
      </c>
      <c r="N47" s="27" t="s">
        <v>217</v>
      </c>
      <c r="O47" s="27" t="s">
        <v>513</v>
      </c>
      <c r="P47" s="27" t="s">
        <v>478</v>
      </c>
      <c r="Q47" s="28" t="n">
        <v>3</v>
      </c>
      <c r="R47" s="32" t="s">
        <v>53</v>
      </c>
      <c r="S47" s="33"/>
      <c r="T47" s="35"/>
    </row>
    <row r="48" customFormat="false" ht="103.5" hidden="false" customHeight="true" outlineLevel="0" collapsed="false">
      <c r="A48" s="27" t="s">
        <v>514</v>
      </c>
      <c r="B48" s="28" t="s">
        <v>94</v>
      </c>
      <c r="C48" s="37" t="s">
        <v>62</v>
      </c>
      <c r="D48" s="28" t="n">
        <v>3</v>
      </c>
      <c r="E48" s="28" t="n">
        <v>3</v>
      </c>
      <c r="F48" s="28" t="n">
        <v>11</v>
      </c>
      <c r="G48" s="30" t="s">
        <v>515</v>
      </c>
      <c r="H48" s="27" t="s">
        <v>516</v>
      </c>
      <c r="I48" s="27" t="s">
        <v>517</v>
      </c>
      <c r="J48" s="31" t="s">
        <v>518</v>
      </c>
      <c r="K48" s="31" t="s">
        <v>519</v>
      </c>
      <c r="L48" s="27" t="s">
        <v>520</v>
      </c>
      <c r="M48" s="27" t="s">
        <v>521</v>
      </c>
      <c r="N48" s="27" t="s">
        <v>208</v>
      </c>
      <c r="O48" s="27" t="s">
        <v>522</v>
      </c>
      <c r="P48" s="27" t="s">
        <v>478</v>
      </c>
      <c r="Q48" s="28" t="n">
        <v>3</v>
      </c>
      <c r="R48" s="32" t="s">
        <v>53</v>
      </c>
      <c r="S48" s="33"/>
      <c r="T48" s="35"/>
    </row>
    <row r="49" customFormat="false" ht="103.5" hidden="false" customHeight="true" outlineLevel="0" collapsed="false">
      <c r="A49" s="27" t="s">
        <v>523</v>
      </c>
      <c r="B49" s="28" t="s">
        <v>94</v>
      </c>
      <c r="C49" s="37" t="s">
        <v>62</v>
      </c>
      <c r="D49" s="28" t="n">
        <v>3</v>
      </c>
      <c r="E49" s="28" t="n">
        <v>4</v>
      </c>
      <c r="F49" s="28" t="n">
        <v>12</v>
      </c>
      <c r="G49" s="30" t="s">
        <v>524</v>
      </c>
      <c r="H49" s="27" t="s">
        <v>525</v>
      </c>
      <c r="I49" s="27" t="s">
        <v>526</v>
      </c>
      <c r="J49" s="31" t="s">
        <v>527</v>
      </c>
      <c r="K49" s="31" t="s">
        <v>528</v>
      </c>
      <c r="L49" s="27" t="s">
        <v>529</v>
      </c>
      <c r="M49" s="27" t="s">
        <v>530</v>
      </c>
      <c r="N49" s="27" t="s">
        <v>531</v>
      </c>
      <c r="O49" s="27" t="s">
        <v>532</v>
      </c>
      <c r="P49" s="27" t="s">
        <v>478</v>
      </c>
      <c r="Q49" s="28" t="n">
        <v>3</v>
      </c>
      <c r="R49" s="32" t="s">
        <v>53</v>
      </c>
      <c r="S49" s="33"/>
      <c r="T49" s="35"/>
    </row>
    <row r="50" customFormat="false" ht="103.5" hidden="false" customHeight="true" outlineLevel="0" collapsed="false">
      <c r="A50" s="27" t="s">
        <v>533</v>
      </c>
      <c r="B50" s="28" t="s">
        <v>94</v>
      </c>
      <c r="C50" s="37" t="s">
        <v>62</v>
      </c>
      <c r="D50" s="28" t="n">
        <v>4</v>
      </c>
      <c r="E50" s="28" t="n">
        <v>1</v>
      </c>
      <c r="F50" s="28" t="n">
        <v>13</v>
      </c>
      <c r="G50" s="30" t="s">
        <v>534</v>
      </c>
      <c r="H50" s="27" t="s">
        <v>535</v>
      </c>
      <c r="I50" s="27" t="s">
        <v>536</v>
      </c>
      <c r="J50" s="31" t="s">
        <v>537</v>
      </c>
      <c r="K50" s="31" t="s">
        <v>538</v>
      </c>
      <c r="L50" s="27" t="s">
        <v>539</v>
      </c>
      <c r="M50" s="27" t="s">
        <v>540</v>
      </c>
      <c r="N50" s="27" t="s">
        <v>245</v>
      </c>
      <c r="O50" s="27" t="s">
        <v>541</v>
      </c>
      <c r="P50" s="27" t="s">
        <v>478</v>
      </c>
      <c r="Q50" s="28" t="n">
        <v>3</v>
      </c>
      <c r="R50" s="32" t="s">
        <v>53</v>
      </c>
      <c r="S50" s="33"/>
      <c r="T50" s="35"/>
    </row>
    <row r="51" customFormat="false" ht="103.5" hidden="false" customHeight="true" outlineLevel="0" collapsed="false">
      <c r="A51" s="27" t="s">
        <v>542</v>
      </c>
      <c r="B51" s="28" t="s">
        <v>94</v>
      </c>
      <c r="C51" s="37" t="s">
        <v>62</v>
      </c>
      <c r="D51" s="28" t="n">
        <v>4</v>
      </c>
      <c r="E51" s="28" t="n">
        <v>2</v>
      </c>
      <c r="F51" s="28" t="n">
        <v>14</v>
      </c>
      <c r="G51" s="30" t="s">
        <v>543</v>
      </c>
      <c r="H51" s="27" t="s">
        <v>544</v>
      </c>
      <c r="I51" s="27" t="s">
        <v>545</v>
      </c>
      <c r="J51" s="31" t="s">
        <v>546</v>
      </c>
      <c r="K51" s="31" t="s">
        <v>547</v>
      </c>
      <c r="L51" s="27" t="s">
        <v>548</v>
      </c>
      <c r="M51" s="27" t="s">
        <v>549</v>
      </c>
      <c r="N51" s="27" t="s">
        <v>550</v>
      </c>
      <c r="O51" s="27"/>
      <c r="P51" s="27" t="s">
        <v>478</v>
      </c>
      <c r="Q51" s="28" t="n">
        <v>3</v>
      </c>
      <c r="R51" s="32" t="s">
        <v>53</v>
      </c>
      <c r="S51" s="33"/>
      <c r="T51" s="35"/>
    </row>
    <row r="52" customFormat="false" ht="103.5" hidden="false" customHeight="true" outlineLevel="0" collapsed="false">
      <c r="A52" s="27" t="s">
        <v>551</v>
      </c>
      <c r="B52" s="28" t="s">
        <v>94</v>
      </c>
      <c r="C52" s="37" t="s">
        <v>62</v>
      </c>
      <c r="D52" s="28" t="n">
        <v>4</v>
      </c>
      <c r="E52" s="28" t="n">
        <v>3</v>
      </c>
      <c r="F52" s="28" t="n">
        <v>15</v>
      </c>
      <c r="G52" s="30" t="s">
        <v>552</v>
      </c>
      <c r="H52" s="27" t="s">
        <v>553</v>
      </c>
      <c r="I52" s="27" t="s">
        <v>554</v>
      </c>
      <c r="J52" s="31" t="s">
        <v>555</v>
      </c>
      <c r="K52" s="31" t="s">
        <v>556</v>
      </c>
      <c r="L52" s="27" t="s">
        <v>557</v>
      </c>
      <c r="M52" s="27" t="s">
        <v>512</v>
      </c>
      <c r="N52" s="27" t="s">
        <v>558</v>
      </c>
      <c r="O52" s="27"/>
      <c r="P52" s="27" t="s">
        <v>478</v>
      </c>
      <c r="Q52" s="28" t="n">
        <v>3</v>
      </c>
      <c r="R52" s="32" t="s">
        <v>53</v>
      </c>
      <c r="S52" s="33"/>
      <c r="T52" s="35"/>
    </row>
    <row r="53" customFormat="false" ht="103.5" hidden="false" customHeight="true" outlineLevel="0" collapsed="false">
      <c r="A53" s="27" t="s">
        <v>559</v>
      </c>
      <c r="B53" s="28" t="s">
        <v>94</v>
      </c>
      <c r="C53" s="37" t="s">
        <v>62</v>
      </c>
      <c r="D53" s="28" t="n">
        <v>4</v>
      </c>
      <c r="E53" s="28" t="n">
        <v>4</v>
      </c>
      <c r="F53" s="28" t="n">
        <v>16</v>
      </c>
      <c r="G53" s="30" t="s">
        <v>560</v>
      </c>
      <c r="H53" s="27" t="s">
        <v>561</v>
      </c>
      <c r="I53" s="27" t="s">
        <v>562</v>
      </c>
      <c r="J53" s="31" t="s">
        <v>563</v>
      </c>
      <c r="K53" s="31" t="s">
        <v>564</v>
      </c>
      <c r="L53" s="27" t="s">
        <v>565</v>
      </c>
      <c r="M53" s="27" t="s">
        <v>486</v>
      </c>
      <c r="N53" s="27" t="s">
        <v>531</v>
      </c>
      <c r="O53" s="27" t="s">
        <v>566</v>
      </c>
      <c r="P53" s="27" t="s">
        <v>478</v>
      </c>
      <c r="Q53" s="28" t="n">
        <v>3</v>
      </c>
      <c r="R53" s="32" t="s">
        <v>53</v>
      </c>
      <c r="S53" s="33"/>
      <c r="T53" s="35"/>
    </row>
    <row r="54" customFormat="false" ht="103.5" hidden="false" customHeight="true" outlineLevel="0" collapsed="false">
      <c r="A54" s="27" t="s">
        <v>567</v>
      </c>
      <c r="B54" s="28" t="s">
        <v>94</v>
      </c>
      <c r="C54" s="32" t="s">
        <v>63</v>
      </c>
      <c r="D54" s="28" t="n">
        <v>1</v>
      </c>
      <c r="E54" s="28" t="n">
        <v>1</v>
      </c>
      <c r="F54" s="28" t="n">
        <v>1</v>
      </c>
      <c r="G54" s="30" t="s">
        <v>568</v>
      </c>
      <c r="H54" s="27" t="s">
        <v>569</v>
      </c>
      <c r="I54" s="27" t="s">
        <v>570</v>
      </c>
      <c r="J54" s="31" t="s">
        <v>571</v>
      </c>
      <c r="K54" s="31" t="s">
        <v>572</v>
      </c>
      <c r="L54" s="27" t="s">
        <v>573</v>
      </c>
      <c r="M54" s="27" t="s">
        <v>574</v>
      </c>
      <c r="N54" s="27" t="s">
        <v>131</v>
      </c>
      <c r="O54" s="27" t="s">
        <v>575</v>
      </c>
      <c r="P54" s="27" t="s">
        <v>576</v>
      </c>
      <c r="Q54" s="28" t="n">
        <v>2</v>
      </c>
      <c r="R54" s="32" t="s">
        <v>53</v>
      </c>
      <c r="S54" s="32"/>
      <c r="T54" s="35"/>
    </row>
    <row r="55" customFormat="false" ht="103.5" hidden="false" customHeight="true" outlineLevel="0" collapsed="false">
      <c r="A55" s="27" t="s">
        <v>577</v>
      </c>
      <c r="B55" s="28" t="s">
        <v>94</v>
      </c>
      <c r="C55" s="32" t="s">
        <v>63</v>
      </c>
      <c r="D55" s="28" t="n">
        <v>1</v>
      </c>
      <c r="E55" s="28" t="n">
        <v>2</v>
      </c>
      <c r="F55" s="28" t="n">
        <v>2</v>
      </c>
      <c r="G55" s="30" t="s">
        <v>578</v>
      </c>
      <c r="H55" s="27" t="s">
        <v>579</v>
      </c>
      <c r="I55" s="27" t="s">
        <v>580</v>
      </c>
      <c r="J55" s="31" t="s">
        <v>581</v>
      </c>
      <c r="K55" s="31" t="s">
        <v>582</v>
      </c>
      <c r="L55" s="27" t="s">
        <v>583</v>
      </c>
      <c r="M55" s="27" t="s">
        <v>584</v>
      </c>
      <c r="N55" s="27" t="s">
        <v>131</v>
      </c>
      <c r="O55" s="27" t="s">
        <v>585</v>
      </c>
      <c r="P55" s="27" t="s">
        <v>576</v>
      </c>
      <c r="Q55" s="28" t="n">
        <v>2</v>
      </c>
      <c r="R55" s="32" t="s">
        <v>53</v>
      </c>
      <c r="S55" s="32"/>
      <c r="T55" s="35"/>
    </row>
    <row r="56" customFormat="false" ht="103.5" hidden="false" customHeight="true" outlineLevel="0" collapsed="false">
      <c r="A56" s="27" t="s">
        <v>586</v>
      </c>
      <c r="B56" s="28" t="s">
        <v>94</v>
      </c>
      <c r="C56" s="32" t="s">
        <v>63</v>
      </c>
      <c r="D56" s="28" t="n">
        <v>1</v>
      </c>
      <c r="E56" s="28" t="n">
        <v>3</v>
      </c>
      <c r="F56" s="28" t="n">
        <v>3</v>
      </c>
      <c r="G56" s="30" t="s">
        <v>587</v>
      </c>
      <c r="H56" s="27" t="s">
        <v>588</v>
      </c>
      <c r="I56" s="27" t="s">
        <v>589</v>
      </c>
      <c r="J56" s="31" t="s">
        <v>590</v>
      </c>
      <c r="K56" s="31" t="s">
        <v>591</v>
      </c>
      <c r="L56" s="27" t="s">
        <v>592</v>
      </c>
      <c r="M56" s="27" t="s">
        <v>593</v>
      </c>
      <c r="N56" s="27" t="s">
        <v>272</v>
      </c>
      <c r="O56" s="27" t="s">
        <v>594</v>
      </c>
      <c r="P56" s="27" t="s">
        <v>576</v>
      </c>
      <c r="Q56" s="28" t="n">
        <v>2</v>
      </c>
      <c r="R56" s="32" t="s">
        <v>53</v>
      </c>
      <c r="S56" s="32"/>
      <c r="T56" s="35"/>
    </row>
    <row r="57" customFormat="false" ht="103.5" hidden="false" customHeight="true" outlineLevel="0" collapsed="false">
      <c r="A57" s="27" t="s">
        <v>595</v>
      </c>
      <c r="B57" s="28" t="s">
        <v>94</v>
      </c>
      <c r="C57" s="32" t="s">
        <v>63</v>
      </c>
      <c r="D57" s="28" t="n">
        <v>1</v>
      </c>
      <c r="E57" s="28" t="n">
        <v>4</v>
      </c>
      <c r="F57" s="28" t="n">
        <v>4</v>
      </c>
      <c r="G57" s="30" t="s">
        <v>596</v>
      </c>
      <c r="H57" s="27" t="s">
        <v>597</v>
      </c>
      <c r="I57" s="27" t="s">
        <v>598</v>
      </c>
      <c r="J57" s="31" t="s">
        <v>599</v>
      </c>
      <c r="K57" s="31" t="s">
        <v>600</v>
      </c>
      <c r="L57" s="27" t="s">
        <v>601</v>
      </c>
      <c r="M57" s="27" t="s">
        <v>602</v>
      </c>
      <c r="N57" s="27" t="s">
        <v>102</v>
      </c>
      <c r="O57" s="27" t="s">
        <v>603</v>
      </c>
      <c r="P57" s="27"/>
      <c r="Q57" s="28" t="n">
        <v>2</v>
      </c>
      <c r="R57" s="32" t="s">
        <v>53</v>
      </c>
      <c r="S57" s="32"/>
      <c r="T57" s="35"/>
    </row>
    <row r="58" customFormat="false" ht="103.5" hidden="false" customHeight="true" outlineLevel="0" collapsed="false">
      <c r="A58" s="27" t="s">
        <v>604</v>
      </c>
      <c r="B58" s="28" t="s">
        <v>94</v>
      </c>
      <c r="C58" s="32" t="s">
        <v>63</v>
      </c>
      <c r="D58" s="28" t="n">
        <v>2</v>
      </c>
      <c r="E58" s="28" t="n">
        <v>1</v>
      </c>
      <c r="F58" s="28" t="n">
        <v>5</v>
      </c>
      <c r="G58" s="30" t="s">
        <v>605</v>
      </c>
      <c r="H58" s="27" t="s">
        <v>606</v>
      </c>
      <c r="I58" s="27" t="s">
        <v>607</v>
      </c>
      <c r="J58" s="31" t="s">
        <v>608</v>
      </c>
      <c r="K58" s="31" t="s">
        <v>609</v>
      </c>
      <c r="L58" s="27" t="s">
        <v>610</v>
      </c>
      <c r="M58" s="27" t="s">
        <v>602</v>
      </c>
      <c r="N58" s="27" t="s">
        <v>466</v>
      </c>
      <c r="O58" s="27" t="s">
        <v>611</v>
      </c>
      <c r="P58" s="27" t="s">
        <v>612</v>
      </c>
      <c r="Q58" s="28" t="n">
        <v>2</v>
      </c>
      <c r="R58" s="32" t="s">
        <v>53</v>
      </c>
      <c r="S58" s="32"/>
      <c r="T58" s="35"/>
    </row>
    <row r="59" customFormat="false" ht="103.5" hidden="false" customHeight="true" outlineLevel="0" collapsed="false">
      <c r="A59" s="27" t="s">
        <v>613</v>
      </c>
      <c r="B59" s="28" t="s">
        <v>94</v>
      </c>
      <c r="C59" s="32" t="s">
        <v>63</v>
      </c>
      <c r="D59" s="28" t="n">
        <v>2</v>
      </c>
      <c r="E59" s="28" t="n">
        <v>2</v>
      </c>
      <c r="F59" s="28" t="n">
        <v>6</v>
      </c>
      <c r="G59" s="30" t="s">
        <v>614</v>
      </c>
      <c r="H59" s="27" t="s">
        <v>615</v>
      </c>
      <c r="I59" s="27" t="s">
        <v>616</v>
      </c>
      <c r="J59" s="31" t="s">
        <v>617</v>
      </c>
      <c r="K59" s="31" t="s">
        <v>618</v>
      </c>
      <c r="L59" s="27" t="s">
        <v>619</v>
      </c>
      <c r="M59" s="27" t="s">
        <v>620</v>
      </c>
      <c r="N59" s="27" t="s">
        <v>621</v>
      </c>
      <c r="O59" s="27"/>
      <c r="P59" s="27" t="s">
        <v>622</v>
      </c>
      <c r="Q59" s="28" t="n">
        <v>2</v>
      </c>
      <c r="R59" s="32" t="s">
        <v>53</v>
      </c>
      <c r="S59" s="32"/>
      <c r="T59" s="35"/>
    </row>
    <row r="60" customFormat="false" ht="103.5" hidden="false" customHeight="true" outlineLevel="0" collapsed="false">
      <c r="A60" s="27" t="s">
        <v>623</v>
      </c>
      <c r="B60" s="28" t="s">
        <v>94</v>
      </c>
      <c r="C60" s="32" t="s">
        <v>63</v>
      </c>
      <c r="D60" s="28" t="n">
        <v>2</v>
      </c>
      <c r="E60" s="28" t="n">
        <v>3</v>
      </c>
      <c r="F60" s="28" t="n">
        <v>7</v>
      </c>
      <c r="G60" s="30" t="s">
        <v>624</v>
      </c>
      <c r="H60" s="27" t="s">
        <v>625</v>
      </c>
      <c r="I60" s="27" t="s">
        <v>626</v>
      </c>
      <c r="J60" s="31" t="s">
        <v>627</v>
      </c>
      <c r="K60" s="31" t="s">
        <v>628</v>
      </c>
      <c r="L60" s="27" t="s">
        <v>629</v>
      </c>
      <c r="M60" s="27" t="s">
        <v>602</v>
      </c>
      <c r="N60" s="27" t="s">
        <v>190</v>
      </c>
      <c r="O60" s="27" t="s">
        <v>630</v>
      </c>
      <c r="P60" s="27" t="s">
        <v>612</v>
      </c>
      <c r="Q60" s="28" t="n">
        <v>2</v>
      </c>
      <c r="R60" s="32" t="s">
        <v>53</v>
      </c>
      <c r="S60" s="32"/>
      <c r="T60" s="35"/>
    </row>
    <row r="61" customFormat="false" ht="103.5" hidden="false" customHeight="true" outlineLevel="0" collapsed="false">
      <c r="A61" s="27" t="s">
        <v>631</v>
      </c>
      <c r="B61" s="28" t="s">
        <v>94</v>
      </c>
      <c r="C61" s="32" t="s">
        <v>63</v>
      </c>
      <c r="D61" s="28" t="n">
        <v>2</v>
      </c>
      <c r="E61" s="28" t="n">
        <v>4</v>
      </c>
      <c r="F61" s="28" t="n">
        <v>8</v>
      </c>
      <c r="G61" s="30" t="s">
        <v>632</v>
      </c>
      <c r="H61" s="27" t="s">
        <v>633</v>
      </c>
      <c r="I61" s="27" t="s">
        <v>634</v>
      </c>
      <c r="J61" s="31" t="s">
        <v>635</v>
      </c>
      <c r="K61" s="31" t="s">
        <v>636</v>
      </c>
      <c r="L61" s="27" t="s">
        <v>637</v>
      </c>
      <c r="M61" s="27" t="s">
        <v>602</v>
      </c>
      <c r="N61" s="27" t="s">
        <v>150</v>
      </c>
      <c r="O61" s="27" t="s">
        <v>638</v>
      </c>
      <c r="P61" s="27" t="s">
        <v>612</v>
      </c>
      <c r="Q61" s="28" t="n">
        <v>2</v>
      </c>
      <c r="R61" s="32" t="s">
        <v>53</v>
      </c>
      <c r="S61" s="32"/>
      <c r="T61" s="35"/>
    </row>
    <row r="62" customFormat="false" ht="103.5" hidden="false" customHeight="true" outlineLevel="0" collapsed="false">
      <c r="A62" s="27" t="s">
        <v>639</v>
      </c>
      <c r="B62" s="28" t="s">
        <v>94</v>
      </c>
      <c r="C62" s="32" t="s">
        <v>63</v>
      </c>
      <c r="D62" s="28" t="n">
        <v>3</v>
      </c>
      <c r="E62" s="28" t="n">
        <v>1</v>
      </c>
      <c r="F62" s="28" t="n">
        <v>9</v>
      </c>
      <c r="G62" s="30" t="s">
        <v>640</v>
      </c>
      <c r="H62" s="27" t="s">
        <v>641</v>
      </c>
      <c r="I62" s="27" t="s">
        <v>642</v>
      </c>
      <c r="J62" s="31" t="s">
        <v>643</v>
      </c>
      <c r="K62" s="31" t="s">
        <v>644</v>
      </c>
      <c r="L62" s="27" t="s">
        <v>645</v>
      </c>
      <c r="M62" s="27" t="s">
        <v>646</v>
      </c>
      <c r="N62" s="27" t="s">
        <v>179</v>
      </c>
      <c r="O62" s="27" t="s">
        <v>647</v>
      </c>
      <c r="P62" s="27" t="s">
        <v>648</v>
      </c>
      <c r="Q62" s="28" t="n">
        <v>3</v>
      </c>
      <c r="R62" s="32" t="s">
        <v>53</v>
      </c>
      <c r="S62" s="32"/>
      <c r="T62" s="35"/>
    </row>
    <row r="63" customFormat="false" ht="103.5" hidden="false" customHeight="true" outlineLevel="0" collapsed="false">
      <c r="A63" s="27" t="s">
        <v>649</v>
      </c>
      <c r="B63" s="28" t="s">
        <v>94</v>
      </c>
      <c r="C63" s="32" t="s">
        <v>63</v>
      </c>
      <c r="D63" s="28" t="n">
        <v>3</v>
      </c>
      <c r="E63" s="28" t="n">
        <v>2</v>
      </c>
      <c r="F63" s="28" t="n">
        <v>10</v>
      </c>
      <c r="G63" s="30" t="s">
        <v>650</v>
      </c>
      <c r="H63" s="27" t="s">
        <v>651</v>
      </c>
      <c r="I63" s="27" t="s">
        <v>652</v>
      </c>
      <c r="J63" s="31" t="s">
        <v>653</v>
      </c>
      <c r="K63" s="31" t="s">
        <v>654</v>
      </c>
      <c r="L63" s="27" t="s">
        <v>655</v>
      </c>
      <c r="M63" s="27" t="s">
        <v>656</v>
      </c>
      <c r="N63" s="27" t="s">
        <v>466</v>
      </c>
      <c r="O63" s="27" t="s">
        <v>657</v>
      </c>
      <c r="P63" s="27" t="s">
        <v>648</v>
      </c>
      <c r="Q63" s="28" t="n">
        <v>3</v>
      </c>
      <c r="R63" s="32" t="s">
        <v>53</v>
      </c>
      <c r="S63" s="32"/>
      <c r="T63" s="35"/>
    </row>
    <row r="64" customFormat="false" ht="103.5" hidden="false" customHeight="true" outlineLevel="0" collapsed="false">
      <c r="A64" s="27" t="s">
        <v>658</v>
      </c>
      <c r="B64" s="28" t="s">
        <v>94</v>
      </c>
      <c r="C64" s="32" t="s">
        <v>63</v>
      </c>
      <c r="D64" s="28" t="n">
        <v>3</v>
      </c>
      <c r="E64" s="28" t="n">
        <v>3</v>
      </c>
      <c r="F64" s="28" t="n">
        <v>11</v>
      </c>
      <c r="G64" s="30" t="s">
        <v>659</v>
      </c>
      <c r="H64" s="27" t="s">
        <v>660</v>
      </c>
      <c r="I64" s="27" t="s">
        <v>661</v>
      </c>
      <c r="J64" s="31" t="s">
        <v>662</v>
      </c>
      <c r="K64" s="31" t="s">
        <v>663</v>
      </c>
      <c r="L64" s="27" t="s">
        <v>664</v>
      </c>
      <c r="M64" s="27" t="s">
        <v>665</v>
      </c>
      <c r="N64" s="27" t="s">
        <v>666</v>
      </c>
      <c r="O64" s="27"/>
      <c r="P64" s="27" t="s">
        <v>667</v>
      </c>
      <c r="Q64" s="28" t="n">
        <v>3</v>
      </c>
      <c r="R64" s="32" t="s">
        <v>53</v>
      </c>
      <c r="S64" s="32"/>
      <c r="T64" s="35"/>
    </row>
    <row r="65" customFormat="false" ht="103.5" hidden="false" customHeight="true" outlineLevel="0" collapsed="false">
      <c r="A65" s="27" t="s">
        <v>668</v>
      </c>
      <c r="B65" s="28" t="s">
        <v>94</v>
      </c>
      <c r="C65" s="32" t="s">
        <v>63</v>
      </c>
      <c r="D65" s="28" t="n">
        <v>3</v>
      </c>
      <c r="E65" s="28" t="n">
        <v>4</v>
      </c>
      <c r="F65" s="28" t="n">
        <v>12</v>
      </c>
      <c r="G65" s="30" t="s">
        <v>669</v>
      </c>
      <c r="H65" s="27" t="s">
        <v>670</v>
      </c>
      <c r="I65" s="27" t="s">
        <v>671</v>
      </c>
      <c r="J65" s="31" t="s">
        <v>672</v>
      </c>
      <c r="K65" s="31" t="s">
        <v>673</v>
      </c>
      <c r="L65" s="27" t="s">
        <v>674</v>
      </c>
      <c r="M65" s="27" t="s">
        <v>646</v>
      </c>
      <c r="N65" s="27" t="s">
        <v>675</v>
      </c>
      <c r="O65" s="27"/>
      <c r="P65" s="27" t="s">
        <v>648</v>
      </c>
      <c r="Q65" s="28" t="n">
        <v>3</v>
      </c>
      <c r="R65" s="32" t="s">
        <v>53</v>
      </c>
      <c r="S65" s="32"/>
      <c r="T65" s="35"/>
    </row>
    <row r="66" customFormat="false" ht="103.5" hidden="false" customHeight="true" outlineLevel="0" collapsed="false">
      <c r="A66" s="27" t="s">
        <v>676</v>
      </c>
      <c r="B66" s="28" t="s">
        <v>94</v>
      </c>
      <c r="C66" s="32" t="s">
        <v>63</v>
      </c>
      <c r="D66" s="28" t="n">
        <v>4</v>
      </c>
      <c r="E66" s="28" t="n">
        <v>1</v>
      </c>
      <c r="F66" s="28" t="n">
        <v>13</v>
      </c>
      <c r="G66" s="30" t="s">
        <v>677</v>
      </c>
      <c r="H66" s="27" t="s">
        <v>678</v>
      </c>
      <c r="I66" s="27" t="s">
        <v>679</v>
      </c>
      <c r="J66" s="31" t="s">
        <v>680</v>
      </c>
      <c r="K66" s="31" t="s">
        <v>681</v>
      </c>
      <c r="L66" s="27" t="s">
        <v>682</v>
      </c>
      <c r="M66" s="27" t="s">
        <v>646</v>
      </c>
      <c r="N66" s="27" t="s">
        <v>683</v>
      </c>
      <c r="O66" s="27"/>
      <c r="P66" s="27" t="s">
        <v>648</v>
      </c>
      <c r="Q66" s="28" t="n">
        <v>3</v>
      </c>
      <c r="R66" s="32" t="s">
        <v>53</v>
      </c>
      <c r="S66" s="32"/>
      <c r="T66" s="35"/>
    </row>
    <row r="67" customFormat="false" ht="103.5" hidden="false" customHeight="true" outlineLevel="0" collapsed="false">
      <c r="A67" s="27" t="s">
        <v>684</v>
      </c>
      <c r="B67" s="28" t="s">
        <v>94</v>
      </c>
      <c r="C67" s="32" t="s">
        <v>63</v>
      </c>
      <c r="D67" s="28" t="n">
        <v>4</v>
      </c>
      <c r="E67" s="28" t="n">
        <v>2</v>
      </c>
      <c r="F67" s="28" t="n">
        <v>14</v>
      </c>
      <c r="G67" s="30" t="s">
        <v>685</v>
      </c>
      <c r="H67" s="27" t="s">
        <v>686</v>
      </c>
      <c r="I67" s="27" t="s">
        <v>687</v>
      </c>
      <c r="J67" s="31" t="s">
        <v>688</v>
      </c>
      <c r="K67" s="31" t="s">
        <v>689</v>
      </c>
      <c r="L67" s="27" t="s">
        <v>690</v>
      </c>
      <c r="M67" s="27" t="s">
        <v>691</v>
      </c>
      <c r="N67" s="27" t="s">
        <v>466</v>
      </c>
      <c r="O67" s="27" t="s">
        <v>692</v>
      </c>
      <c r="P67" s="27" t="s">
        <v>648</v>
      </c>
      <c r="Q67" s="28" t="n">
        <v>3</v>
      </c>
      <c r="R67" s="32" t="s">
        <v>53</v>
      </c>
      <c r="S67" s="32"/>
      <c r="T67" s="35"/>
    </row>
    <row r="68" customFormat="false" ht="103.5" hidden="false" customHeight="true" outlineLevel="0" collapsed="false">
      <c r="A68" s="27" t="s">
        <v>693</v>
      </c>
      <c r="B68" s="28" t="s">
        <v>94</v>
      </c>
      <c r="C68" s="32" t="s">
        <v>63</v>
      </c>
      <c r="D68" s="28" t="n">
        <v>4</v>
      </c>
      <c r="E68" s="28" t="n">
        <v>3</v>
      </c>
      <c r="F68" s="28" t="n">
        <v>15</v>
      </c>
      <c r="G68" s="30" t="s">
        <v>694</v>
      </c>
      <c r="H68" s="27" t="s">
        <v>695</v>
      </c>
      <c r="I68" s="27" t="s">
        <v>696</v>
      </c>
      <c r="J68" s="31" t="s">
        <v>697</v>
      </c>
      <c r="K68" s="31" t="s">
        <v>698</v>
      </c>
      <c r="L68" s="27" t="s">
        <v>699</v>
      </c>
      <c r="M68" s="27" t="s">
        <v>646</v>
      </c>
      <c r="N68" s="27" t="s">
        <v>190</v>
      </c>
      <c r="O68" s="27" t="s">
        <v>700</v>
      </c>
      <c r="P68" s="27" t="s">
        <v>648</v>
      </c>
      <c r="Q68" s="28" t="n">
        <v>3</v>
      </c>
      <c r="R68" s="32" t="s">
        <v>53</v>
      </c>
      <c r="S68" s="32"/>
      <c r="T68" s="35"/>
    </row>
    <row r="69" customFormat="false" ht="103.5" hidden="false" customHeight="true" outlineLevel="0" collapsed="false">
      <c r="A69" s="27" t="s">
        <v>701</v>
      </c>
      <c r="B69" s="28" t="s">
        <v>94</v>
      </c>
      <c r="C69" s="32" t="s">
        <v>63</v>
      </c>
      <c r="D69" s="28" t="n">
        <v>4</v>
      </c>
      <c r="E69" s="28" t="n">
        <v>4</v>
      </c>
      <c r="F69" s="28" t="n">
        <v>16</v>
      </c>
      <c r="G69" s="30" t="s">
        <v>702</v>
      </c>
      <c r="H69" s="27" t="s">
        <v>703</v>
      </c>
      <c r="I69" s="27" t="s">
        <v>704</v>
      </c>
      <c r="J69" s="31" t="s">
        <v>705</v>
      </c>
      <c r="K69" s="31" t="s">
        <v>706</v>
      </c>
      <c r="L69" s="27" t="s">
        <v>707</v>
      </c>
      <c r="M69" s="27" t="s">
        <v>646</v>
      </c>
      <c r="N69" s="27" t="s">
        <v>708</v>
      </c>
      <c r="O69" s="27"/>
      <c r="P69" s="27" t="s">
        <v>648</v>
      </c>
      <c r="Q69" s="28" t="n">
        <v>3</v>
      </c>
      <c r="R69" s="32" t="s">
        <v>53</v>
      </c>
      <c r="S69" s="32"/>
      <c r="T69" s="35"/>
    </row>
    <row r="70" customFormat="false" ht="103.5" hidden="false" customHeight="true" outlineLevel="0" collapsed="false">
      <c r="A70" s="27" t="s">
        <v>709</v>
      </c>
      <c r="B70" s="28" t="s">
        <v>710</v>
      </c>
      <c r="C70" s="29" t="s">
        <v>60</v>
      </c>
      <c r="D70" s="28" t="n">
        <v>1</v>
      </c>
      <c r="E70" s="28" t="n">
        <v>1</v>
      </c>
      <c r="F70" s="28" t="n">
        <v>1</v>
      </c>
      <c r="G70" s="30" t="s">
        <v>95</v>
      </c>
      <c r="H70" s="27" t="s">
        <v>96</v>
      </c>
      <c r="I70" s="27" t="s">
        <v>97</v>
      </c>
      <c r="J70" s="31" t="s">
        <v>98</v>
      </c>
      <c r="K70" s="31" t="s">
        <v>99</v>
      </c>
      <c r="L70" s="27" t="s">
        <v>100</v>
      </c>
      <c r="M70" s="27" t="s">
        <v>101</v>
      </c>
      <c r="N70" s="27" t="s">
        <v>102</v>
      </c>
      <c r="O70" s="27" t="s">
        <v>103</v>
      </c>
      <c r="P70" s="27" t="s">
        <v>104</v>
      </c>
      <c r="Q70" s="28" t="n">
        <v>1</v>
      </c>
      <c r="R70" s="32" t="s">
        <v>53</v>
      </c>
      <c r="S70" s="32"/>
      <c r="T70" s="35"/>
    </row>
    <row r="71" customFormat="false" ht="103.5" hidden="false" customHeight="true" outlineLevel="0" collapsed="false">
      <c r="A71" s="27" t="s">
        <v>711</v>
      </c>
      <c r="B71" s="28" t="s">
        <v>710</v>
      </c>
      <c r="C71" s="29" t="s">
        <v>60</v>
      </c>
      <c r="D71" s="28" t="n">
        <v>1</v>
      </c>
      <c r="E71" s="28" t="n">
        <v>2</v>
      </c>
      <c r="F71" s="28" t="n">
        <v>2</v>
      </c>
      <c r="G71" s="30" t="s">
        <v>106</v>
      </c>
      <c r="H71" s="27" t="s">
        <v>107</v>
      </c>
      <c r="I71" s="27" t="s">
        <v>108</v>
      </c>
      <c r="J71" s="31" t="s">
        <v>109</v>
      </c>
      <c r="K71" s="31" t="s">
        <v>110</v>
      </c>
      <c r="L71" s="27" t="s">
        <v>111</v>
      </c>
      <c r="M71" s="27" t="s">
        <v>101</v>
      </c>
      <c r="N71" s="27" t="s">
        <v>112</v>
      </c>
      <c r="O71" s="27" t="s">
        <v>113</v>
      </c>
      <c r="P71" s="27" t="s">
        <v>104</v>
      </c>
      <c r="Q71" s="28" t="n">
        <v>1</v>
      </c>
      <c r="R71" s="32" t="s">
        <v>53</v>
      </c>
      <c r="S71" s="32"/>
      <c r="T71" s="35"/>
    </row>
    <row r="72" customFormat="false" ht="103.5" hidden="false" customHeight="true" outlineLevel="0" collapsed="false">
      <c r="A72" s="27" t="s">
        <v>712</v>
      </c>
      <c r="B72" s="28" t="s">
        <v>710</v>
      </c>
      <c r="C72" s="29" t="s">
        <v>60</v>
      </c>
      <c r="D72" s="28" t="n">
        <v>1</v>
      </c>
      <c r="E72" s="28" t="n">
        <v>3</v>
      </c>
      <c r="F72" s="28" t="n">
        <v>3</v>
      </c>
      <c r="G72" s="30" t="s">
        <v>713</v>
      </c>
      <c r="H72" s="27" t="s">
        <v>714</v>
      </c>
      <c r="I72" s="27" t="s">
        <v>715</v>
      </c>
      <c r="J72" s="31" t="s">
        <v>716</v>
      </c>
      <c r="K72" s="31" t="s">
        <v>717</v>
      </c>
      <c r="L72" s="27" t="s">
        <v>718</v>
      </c>
      <c r="M72" s="27" t="s">
        <v>121</v>
      </c>
      <c r="N72" s="27" t="s">
        <v>122</v>
      </c>
      <c r="O72" s="27" t="s">
        <v>123</v>
      </c>
      <c r="P72" s="27" t="s">
        <v>104</v>
      </c>
      <c r="Q72" s="28" t="n">
        <v>1</v>
      </c>
      <c r="R72" s="32" t="s">
        <v>53</v>
      </c>
      <c r="S72" s="32"/>
      <c r="T72" s="35"/>
    </row>
    <row r="73" customFormat="false" ht="103.5" hidden="false" customHeight="true" outlineLevel="0" collapsed="false">
      <c r="A73" s="27" t="s">
        <v>719</v>
      </c>
      <c r="B73" s="28" t="s">
        <v>710</v>
      </c>
      <c r="C73" s="29" t="s">
        <v>60</v>
      </c>
      <c r="D73" s="28" t="n">
        <v>1</v>
      </c>
      <c r="E73" s="28" t="n">
        <v>4</v>
      </c>
      <c r="F73" s="28" t="n">
        <v>4</v>
      </c>
      <c r="G73" s="30" t="s">
        <v>720</v>
      </c>
      <c r="H73" s="27" t="s">
        <v>721</v>
      </c>
      <c r="I73" s="27" t="s">
        <v>722</v>
      </c>
      <c r="J73" s="31" t="s">
        <v>723</v>
      </c>
      <c r="K73" s="31" t="s">
        <v>724</v>
      </c>
      <c r="L73" s="27" t="s">
        <v>725</v>
      </c>
      <c r="M73" s="27" t="s">
        <v>101</v>
      </c>
      <c r="N73" s="27" t="s">
        <v>170</v>
      </c>
      <c r="O73" s="27" t="s">
        <v>171</v>
      </c>
      <c r="P73" s="27" t="s">
        <v>104</v>
      </c>
      <c r="Q73" s="28" t="n">
        <v>1</v>
      </c>
      <c r="R73" s="32" t="s">
        <v>53</v>
      </c>
      <c r="S73" s="32"/>
      <c r="T73" s="35"/>
    </row>
    <row r="74" customFormat="false" ht="103.5" hidden="false" customHeight="true" outlineLevel="0" collapsed="false">
      <c r="A74" s="27" t="s">
        <v>726</v>
      </c>
      <c r="B74" s="28" t="s">
        <v>710</v>
      </c>
      <c r="C74" s="29" t="s">
        <v>60</v>
      </c>
      <c r="D74" s="28" t="n">
        <v>2</v>
      </c>
      <c r="E74" s="28" t="n">
        <v>1</v>
      </c>
      <c r="F74" s="28" t="n">
        <v>5</v>
      </c>
      <c r="G74" s="30" t="s">
        <v>727</v>
      </c>
      <c r="H74" s="27" t="s">
        <v>728</v>
      </c>
      <c r="I74" s="27" t="s">
        <v>729</v>
      </c>
      <c r="J74" s="31" t="s">
        <v>137</v>
      </c>
      <c r="K74" s="31" t="s">
        <v>730</v>
      </c>
      <c r="L74" s="27" t="s">
        <v>731</v>
      </c>
      <c r="M74" s="27" t="s">
        <v>101</v>
      </c>
      <c r="N74" s="27" t="s">
        <v>732</v>
      </c>
      <c r="O74" s="27" t="s">
        <v>733</v>
      </c>
      <c r="P74" s="27" t="s">
        <v>142</v>
      </c>
      <c r="Q74" s="28" t="n">
        <v>1</v>
      </c>
      <c r="R74" s="32" t="s">
        <v>53</v>
      </c>
      <c r="S74" s="32"/>
      <c r="T74" s="35"/>
    </row>
    <row r="75" customFormat="false" ht="103.5" hidden="false" customHeight="true" outlineLevel="0" collapsed="false">
      <c r="A75" s="27" t="s">
        <v>734</v>
      </c>
      <c r="B75" s="28" t="s">
        <v>710</v>
      </c>
      <c r="C75" s="29" t="s">
        <v>60</v>
      </c>
      <c r="D75" s="28" t="n">
        <v>2</v>
      </c>
      <c r="E75" s="28" t="n">
        <v>2</v>
      </c>
      <c r="F75" s="28" t="n">
        <v>6</v>
      </c>
      <c r="G75" s="30" t="s">
        <v>735</v>
      </c>
      <c r="H75" s="27" t="s">
        <v>736</v>
      </c>
      <c r="I75" s="27" t="s">
        <v>737</v>
      </c>
      <c r="J75" s="31" t="s">
        <v>147</v>
      </c>
      <c r="K75" s="31" t="s">
        <v>738</v>
      </c>
      <c r="L75" s="27" t="s">
        <v>739</v>
      </c>
      <c r="M75" s="27" t="s">
        <v>121</v>
      </c>
      <c r="N75" s="27" t="s">
        <v>150</v>
      </c>
      <c r="O75" s="27" t="s">
        <v>151</v>
      </c>
      <c r="P75" s="27" t="s">
        <v>152</v>
      </c>
      <c r="Q75" s="28" t="n">
        <v>1</v>
      </c>
      <c r="R75" s="32" t="s">
        <v>56</v>
      </c>
      <c r="S75" s="32"/>
      <c r="T75" s="35" t="s">
        <v>740</v>
      </c>
    </row>
    <row r="76" customFormat="false" ht="103.5" hidden="false" customHeight="true" outlineLevel="0" collapsed="false">
      <c r="A76" s="27" t="s">
        <v>741</v>
      </c>
      <c r="B76" s="28" t="s">
        <v>710</v>
      </c>
      <c r="C76" s="29" t="s">
        <v>60</v>
      </c>
      <c r="D76" s="28" t="n">
        <v>2</v>
      </c>
      <c r="E76" s="28" t="n">
        <v>3</v>
      </c>
      <c r="F76" s="28" t="n">
        <v>7</v>
      </c>
      <c r="G76" s="30" t="s">
        <v>742</v>
      </c>
      <c r="H76" s="27" t="s">
        <v>743</v>
      </c>
      <c r="I76" s="27" t="s">
        <v>744</v>
      </c>
      <c r="J76" s="31" t="s">
        <v>158</v>
      </c>
      <c r="K76" s="31" t="s">
        <v>745</v>
      </c>
      <c r="L76" s="27" t="s">
        <v>746</v>
      </c>
      <c r="M76" s="27" t="s">
        <v>101</v>
      </c>
      <c r="N76" s="27" t="s">
        <v>161</v>
      </c>
      <c r="O76" s="27"/>
      <c r="P76" s="27" t="s">
        <v>104</v>
      </c>
      <c r="Q76" s="28" t="n">
        <v>1</v>
      </c>
      <c r="R76" s="32" t="s">
        <v>53</v>
      </c>
      <c r="S76" s="32"/>
      <c r="T76" s="35"/>
    </row>
    <row r="77" customFormat="false" ht="103.5" hidden="false" customHeight="true" outlineLevel="0" collapsed="false">
      <c r="A77" s="27" t="s">
        <v>747</v>
      </c>
      <c r="B77" s="28" t="s">
        <v>710</v>
      </c>
      <c r="C77" s="29" t="s">
        <v>60</v>
      </c>
      <c r="D77" s="28" t="n">
        <v>2</v>
      </c>
      <c r="E77" s="28" t="n">
        <v>4</v>
      </c>
      <c r="F77" s="28" t="n">
        <v>8</v>
      </c>
      <c r="G77" s="30" t="s">
        <v>748</v>
      </c>
      <c r="H77" s="27" t="s">
        <v>164</v>
      </c>
      <c r="I77" s="27" t="s">
        <v>165</v>
      </c>
      <c r="J77" s="31" t="s">
        <v>166</v>
      </c>
      <c r="K77" s="31" t="s">
        <v>749</v>
      </c>
      <c r="L77" s="27" t="s">
        <v>750</v>
      </c>
      <c r="M77" s="27" t="s">
        <v>169</v>
      </c>
      <c r="N77" s="27" t="s">
        <v>732</v>
      </c>
      <c r="O77" s="27" t="s">
        <v>751</v>
      </c>
      <c r="P77" s="27" t="s">
        <v>152</v>
      </c>
      <c r="Q77" s="28" t="n">
        <v>1</v>
      </c>
      <c r="R77" s="32" t="s">
        <v>53</v>
      </c>
      <c r="S77" s="32"/>
      <c r="T77" s="35"/>
    </row>
    <row r="78" customFormat="false" ht="103.5" hidden="false" customHeight="true" outlineLevel="0" collapsed="false">
      <c r="A78" s="27" t="s">
        <v>752</v>
      </c>
      <c r="B78" s="28" t="s">
        <v>710</v>
      </c>
      <c r="C78" s="29" t="s">
        <v>60</v>
      </c>
      <c r="D78" s="28" t="n">
        <v>3</v>
      </c>
      <c r="E78" s="28" t="n">
        <v>1</v>
      </c>
      <c r="F78" s="28" t="n">
        <v>9</v>
      </c>
      <c r="G78" s="30" t="s">
        <v>753</v>
      </c>
      <c r="H78" s="27" t="s">
        <v>754</v>
      </c>
      <c r="I78" s="27" t="s">
        <v>755</v>
      </c>
      <c r="J78" s="31" t="s">
        <v>756</v>
      </c>
      <c r="K78" s="31" t="s">
        <v>757</v>
      </c>
      <c r="L78" s="27" t="s">
        <v>758</v>
      </c>
      <c r="M78" s="27" t="s">
        <v>101</v>
      </c>
      <c r="N78" s="27" t="s">
        <v>208</v>
      </c>
      <c r="O78" s="27" t="s">
        <v>759</v>
      </c>
      <c r="P78" s="27" t="s">
        <v>181</v>
      </c>
      <c r="Q78" s="28" t="n">
        <v>3</v>
      </c>
      <c r="R78" s="32" t="s">
        <v>53</v>
      </c>
      <c r="S78" s="32"/>
      <c r="T78" s="35"/>
    </row>
    <row r="79" customFormat="false" ht="103.5" hidden="false" customHeight="true" outlineLevel="0" collapsed="false">
      <c r="A79" s="27" t="s">
        <v>760</v>
      </c>
      <c r="B79" s="28" t="s">
        <v>710</v>
      </c>
      <c r="C79" s="29" t="s">
        <v>60</v>
      </c>
      <c r="D79" s="28" t="n">
        <v>3</v>
      </c>
      <c r="E79" s="28" t="n">
        <v>2</v>
      </c>
      <c r="F79" s="28" t="n">
        <v>10</v>
      </c>
      <c r="G79" s="30" t="s">
        <v>761</v>
      </c>
      <c r="H79" s="27" t="s">
        <v>762</v>
      </c>
      <c r="I79" s="27" t="s">
        <v>763</v>
      </c>
      <c r="J79" s="31" t="s">
        <v>186</v>
      </c>
      <c r="K79" s="31" t="s">
        <v>187</v>
      </c>
      <c r="L79" s="27" t="s">
        <v>188</v>
      </c>
      <c r="M79" s="27" t="s">
        <v>189</v>
      </c>
      <c r="N79" s="27" t="s">
        <v>190</v>
      </c>
      <c r="O79" s="27" t="s">
        <v>764</v>
      </c>
      <c r="P79" s="27" t="s">
        <v>104</v>
      </c>
      <c r="Q79" s="28" t="n">
        <v>3</v>
      </c>
      <c r="R79" s="32" t="s">
        <v>53</v>
      </c>
      <c r="S79" s="32"/>
      <c r="T79" s="35"/>
    </row>
    <row r="80" customFormat="false" ht="103.5" hidden="false" customHeight="true" outlineLevel="0" collapsed="false">
      <c r="A80" s="27" t="s">
        <v>765</v>
      </c>
      <c r="B80" s="28" t="s">
        <v>710</v>
      </c>
      <c r="C80" s="29" t="s">
        <v>60</v>
      </c>
      <c r="D80" s="28" t="n">
        <v>3</v>
      </c>
      <c r="E80" s="28" t="n">
        <v>3</v>
      </c>
      <c r="F80" s="28" t="n">
        <v>11</v>
      </c>
      <c r="G80" s="30" t="s">
        <v>766</v>
      </c>
      <c r="H80" s="27" t="s">
        <v>767</v>
      </c>
      <c r="I80" s="27" t="s">
        <v>768</v>
      </c>
      <c r="J80" s="31" t="s">
        <v>196</v>
      </c>
      <c r="K80" s="31" t="s">
        <v>769</v>
      </c>
      <c r="L80" s="27" t="s">
        <v>770</v>
      </c>
      <c r="M80" s="27" t="s">
        <v>199</v>
      </c>
      <c r="N80" s="27" t="s">
        <v>190</v>
      </c>
      <c r="O80" s="27" t="s">
        <v>771</v>
      </c>
      <c r="P80" s="27" t="s">
        <v>152</v>
      </c>
      <c r="Q80" s="28" t="n">
        <v>3</v>
      </c>
      <c r="R80" s="32" t="s">
        <v>53</v>
      </c>
      <c r="S80" s="32"/>
      <c r="T80" s="35"/>
    </row>
    <row r="81" customFormat="false" ht="103.5" hidden="false" customHeight="true" outlineLevel="0" collapsed="false">
      <c r="A81" s="27" t="s">
        <v>772</v>
      </c>
      <c r="B81" s="28" t="s">
        <v>710</v>
      </c>
      <c r="C81" s="29" t="s">
        <v>60</v>
      </c>
      <c r="D81" s="28" t="n">
        <v>3</v>
      </c>
      <c r="E81" s="28" t="n">
        <v>4</v>
      </c>
      <c r="F81" s="28" t="n">
        <v>12</v>
      </c>
      <c r="G81" s="30" t="s">
        <v>773</v>
      </c>
      <c r="H81" s="27" t="s">
        <v>774</v>
      </c>
      <c r="I81" s="27" t="s">
        <v>775</v>
      </c>
      <c r="J81" s="31" t="s">
        <v>205</v>
      </c>
      <c r="K81" s="31" t="s">
        <v>776</v>
      </c>
      <c r="L81" s="27" t="s">
        <v>777</v>
      </c>
      <c r="M81" s="27" t="s">
        <v>101</v>
      </c>
      <c r="N81" s="27" t="s">
        <v>732</v>
      </c>
      <c r="O81" s="27" t="s">
        <v>778</v>
      </c>
      <c r="P81" s="27" t="s">
        <v>181</v>
      </c>
      <c r="Q81" s="28" t="n">
        <v>3</v>
      </c>
      <c r="R81" s="32" t="s">
        <v>53</v>
      </c>
      <c r="S81" s="32"/>
      <c r="T81" s="35"/>
    </row>
    <row r="82" customFormat="false" ht="103.5" hidden="false" customHeight="true" outlineLevel="0" collapsed="false">
      <c r="A82" s="27" t="s">
        <v>779</v>
      </c>
      <c r="B82" s="28" t="s">
        <v>710</v>
      </c>
      <c r="C82" s="29" t="s">
        <v>60</v>
      </c>
      <c r="D82" s="28" t="n">
        <v>4</v>
      </c>
      <c r="E82" s="28" t="n">
        <v>1</v>
      </c>
      <c r="F82" s="28" t="n">
        <v>13</v>
      </c>
      <c r="G82" s="30" t="s">
        <v>780</v>
      </c>
      <c r="H82" s="27" t="s">
        <v>781</v>
      </c>
      <c r="I82" s="27" t="s">
        <v>782</v>
      </c>
      <c r="J82" s="31" t="s">
        <v>214</v>
      </c>
      <c r="K82" s="31" t="s">
        <v>783</v>
      </c>
      <c r="L82" s="27" t="s">
        <v>784</v>
      </c>
      <c r="M82" s="27" t="s">
        <v>785</v>
      </c>
      <c r="N82" s="27" t="s">
        <v>786</v>
      </c>
      <c r="O82" s="27" t="s">
        <v>787</v>
      </c>
      <c r="P82" s="27" t="s">
        <v>104</v>
      </c>
      <c r="Q82" s="28" t="n">
        <v>3</v>
      </c>
      <c r="R82" s="32" t="s">
        <v>53</v>
      </c>
      <c r="S82" s="32"/>
      <c r="T82" s="35"/>
    </row>
    <row r="83" customFormat="false" ht="103.5" hidden="false" customHeight="true" outlineLevel="0" collapsed="false">
      <c r="A83" s="27" t="s">
        <v>788</v>
      </c>
      <c r="B83" s="28" t="s">
        <v>710</v>
      </c>
      <c r="C83" s="29" t="s">
        <v>60</v>
      </c>
      <c r="D83" s="28" t="n">
        <v>4</v>
      </c>
      <c r="E83" s="28" t="n">
        <v>2</v>
      </c>
      <c r="F83" s="28" t="n">
        <v>14</v>
      </c>
      <c r="G83" s="30" t="s">
        <v>789</v>
      </c>
      <c r="H83" s="27" t="s">
        <v>790</v>
      </c>
      <c r="I83" s="27" t="s">
        <v>791</v>
      </c>
      <c r="J83" s="31" t="s">
        <v>792</v>
      </c>
      <c r="K83" s="31" t="s">
        <v>793</v>
      </c>
      <c r="L83" s="27" t="s">
        <v>794</v>
      </c>
      <c r="M83" s="27" t="s">
        <v>169</v>
      </c>
      <c r="N83" s="27" t="s">
        <v>795</v>
      </c>
      <c r="O83" s="27"/>
      <c r="P83" s="27" t="s">
        <v>104</v>
      </c>
      <c r="Q83" s="28" t="n">
        <v>3</v>
      </c>
      <c r="R83" s="32" t="s">
        <v>53</v>
      </c>
      <c r="S83" s="32"/>
      <c r="T83" s="35"/>
    </row>
    <row r="84" customFormat="false" ht="103.5" hidden="false" customHeight="true" outlineLevel="0" collapsed="false">
      <c r="A84" s="27" t="s">
        <v>796</v>
      </c>
      <c r="B84" s="28" t="s">
        <v>710</v>
      </c>
      <c r="C84" s="29" t="s">
        <v>60</v>
      </c>
      <c r="D84" s="28" t="n">
        <v>4</v>
      </c>
      <c r="E84" s="28" t="n">
        <v>3</v>
      </c>
      <c r="F84" s="28" t="n">
        <v>15</v>
      </c>
      <c r="G84" s="30" t="s">
        <v>797</v>
      </c>
      <c r="H84" s="27" t="s">
        <v>798</v>
      </c>
      <c r="I84" s="27" t="s">
        <v>799</v>
      </c>
      <c r="J84" s="31" t="s">
        <v>231</v>
      </c>
      <c r="K84" s="31" t="s">
        <v>800</v>
      </c>
      <c r="L84" s="27" t="s">
        <v>801</v>
      </c>
      <c r="M84" s="27" t="s">
        <v>234</v>
      </c>
      <c r="N84" s="27" t="s">
        <v>235</v>
      </c>
      <c r="O84" s="27"/>
      <c r="P84" s="27" t="s">
        <v>104</v>
      </c>
      <c r="Q84" s="28" t="n">
        <v>3</v>
      </c>
      <c r="R84" s="32" t="s">
        <v>53</v>
      </c>
      <c r="S84" s="32"/>
      <c r="T84" s="35"/>
    </row>
    <row r="85" customFormat="false" ht="103.5" hidden="false" customHeight="true" outlineLevel="0" collapsed="false">
      <c r="A85" s="27" t="s">
        <v>802</v>
      </c>
      <c r="B85" s="28" t="s">
        <v>710</v>
      </c>
      <c r="C85" s="29" t="s">
        <v>60</v>
      </c>
      <c r="D85" s="28" t="n">
        <v>4</v>
      </c>
      <c r="E85" s="28" t="n">
        <v>4</v>
      </c>
      <c r="F85" s="28" t="n">
        <v>16</v>
      </c>
      <c r="G85" s="30" t="s">
        <v>803</v>
      </c>
      <c r="H85" s="27" t="s">
        <v>804</v>
      </c>
      <c r="I85" s="27" t="s">
        <v>805</v>
      </c>
      <c r="J85" s="31" t="s">
        <v>806</v>
      </c>
      <c r="K85" s="31" t="s">
        <v>807</v>
      </c>
      <c r="L85" s="27" t="s">
        <v>808</v>
      </c>
      <c r="M85" s="27" t="s">
        <v>101</v>
      </c>
      <c r="N85" s="27" t="s">
        <v>809</v>
      </c>
      <c r="O85" s="27" t="s">
        <v>810</v>
      </c>
      <c r="P85" s="27" t="s">
        <v>142</v>
      </c>
      <c r="Q85" s="28" t="n">
        <v>3</v>
      </c>
      <c r="R85" s="32" t="s">
        <v>53</v>
      </c>
      <c r="S85" s="32"/>
      <c r="T85" s="35"/>
    </row>
    <row r="86" customFormat="false" ht="103.5" hidden="false" customHeight="true" outlineLevel="0" collapsed="false">
      <c r="A86" s="27" t="s">
        <v>811</v>
      </c>
      <c r="B86" s="28" t="s">
        <v>710</v>
      </c>
      <c r="C86" s="36" t="s">
        <v>61</v>
      </c>
      <c r="D86" s="28" t="n">
        <v>1</v>
      </c>
      <c r="E86" s="28" t="n">
        <v>1</v>
      </c>
      <c r="F86" s="28" t="n">
        <v>1</v>
      </c>
      <c r="G86" s="30" t="s">
        <v>812</v>
      </c>
      <c r="H86" s="27" t="s">
        <v>249</v>
      </c>
      <c r="I86" s="27" t="s">
        <v>250</v>
      </c>
      <c r="J86" s="31" t="s">
        <v>251</v>
      </c>
      <c r="K86" s="31" t="s">
        <v>813</v>
      </c>
      <c r="L86" s="27" t="s">
        <v>814</v>
      </c>
      <c r="M86" s="27" t="s">
        <v>254</v>
      </c>
      <c r="N86" s="27" t="s">
        <v>102</v>
      </c>
      <c r="O86" s="27" t="s">
        <v>255</v>
      </c>
      <c r="P86" s="27" t="s">
        <v>256</v>
      </c>
      <c r="Q86" s="28" t="n">
        <v>1</v>
      </c>
      <c r="R86" s="32" t="s">
        <v>53</v>
      </c>
      <c r="S86" s="32"/>
      <c r="T86" s="35"/>
    </row>
    <row r="87" customFormat="false" ht="103.5" hidden="false" customHeight="true" outlineLevel="0" collapsed="false">
      <c r="A87" s="27" t="s">
        <v>815</v>
      </c>
      <c r="B87" s="28" t="s">
        <v>710</v>
      </c>
      <c r="C87" s="36" t="s">
        <v>61</v>
      </c>
      <c r="D87" s="28" t="n">
        <v>1</v>
      </c>
      <c r="E87" s="28" t="n">
        <v>2</v>
      </c>
      <c r="F87" s="28" t="n">
        <v>2</v>
      </c>
      <c r="G87" s="30" t="s">
        <v>258</v>
      </c>
      <c r="H87" s="27" t="s">
        <v>259</v>
      </c>
      <c r="I87" s="27" t="s">
        <v>260</v>
      </c>
      <c r="J87" s="31" t="s">
        <v>261</v>
      </c>
      <c r="K87" s="31" t="s">
        <v>262</v>
      </c>
      <c r="L87" s="27" t="s">
        <v>263</v>
      </c>
      <c r="M87" s="27" t="s">
        <v>254</v>
      </c>
      <c r="N87" s="27" t="s">
        <v>112</v>
      </c>
      <c r="O87" s="27" t="s">
        <v>264</v>
      </c>
      <c r="P87" s="27" t="s">
        <v>256</v>
      </c>
      <c r="Q87" s="28" t="n">
        <v>1</v>
      </c>
      <c r="R87" s="32" t="s">
        <v>53</v>
      </c>
      <c r="S87" s="32"/>
      <c r="T87" s="35"/>
    </row>
    <row r="88" customFormat="false" ht="103.5" hidden="false" customHeight="true" outlineLevel="0" collapsed="false">
      <c r="A88" s="27" t="s">
        <v>816</v>
      </c>
      <c r="B88" s="28" t="s">
        <v>710</v>
      </c>
      <c r="C88" s="36" t="s">
        <v>61</v>
      </c>
      <c r="D88" s="28" t="n">
        <v>1</v>
      </c>
      <c r="E88" s="28" t="n">
        <v>3</v>
      </c>
      <c r="F88" s="28" t="n">
        <v>3</v>
      </c>
      <c r="G88" s="30" t="s">
        <v>817</v>
      </c>
      <c r="H88" s="27" t="s">
        <v>818</v>
      </c>
      <c r="I88" s="27" t="s">
        <v>819</v>
      </c>
      <c r="J88" s="31" t="s">
        <v>269</v>
      </c>
      <c r="K88" s="31" t="s">
        <v>820</v>
      </c>
      <c r="L88" s="27" t="s">
        <v>821</v>
      </c>
      <c r="M88" s="27" t="s">
        <v>254</v>
      </c>
      <c r="N88" s="27" t="s">
        <v>272</v>
      </c>
      <c r="O88" s="27" t="s">
        <v>273</v>
      </c>
      <c r="P88" s="27" t="s">
        <v>256</v>
      </c>
      <c r="Q88" s="28" t="n">
        <v>1</v>
      </c>
      <c r="R88" s="32" t="s">
        <v>53</v>
      </c>
      <c r="S88" s="32"/>
      <c r="T88" s="35"/>
    </row>
    <row r="89" customFormat="false" ht="103.5" hidden="false" customHeight="true" outlineLevel="0" collapsed="false">
      <c r="A89" s="27" t="s">
        <v>822</v>
      </c>
      <c r="B89" s="28" t="s">
        <v>710</v>
      </c>
      <c r="C89" s="36" t="s">
        <v>61</v>
      </c>
      <c r="D89" s="28" t="n">
        <v>1</v>
      </c>
      <c r="E89" s="28" t="n">
        <v>4</v>
      </c>
      <c r="F89" s="28" t="n">
        <v>4</v>
      </c>
      <c r="G89" s="30" t="s">
        <v>275</v>
      </c>
      <c r="H89" s="27" t="s">
        <v>276</v>
      </c>
      <c r="I89" s="27" t="s">
        <v>277</v>
      </c>
      <c r="J89" s="31" t="s">
        <v>278</v>
      </c>
      <c r="K89" s="31" t="s">
        <v>823</v>
      </c>
      <c r="L89" s="27" t="s">
        <v>824</v>
      </c>
      <c r="M89" s="27" t="s">
        <v>254</v>
      </c>
      <c r="N89" s="27" t="s">
        <v>281</v>
      </c>
      <c r="O89" s="27"/>
      <c r="P89" s="27" t="s">
        <v>256</v>
      </c>
      <c r="Q89" s="28" t="n">
        <v>1</v>
      </c>
      <c r="R89" s="32" t="s">
        <v>53</v>
      </c>
      <c r="S89" s="32"/>
      <c r="T89" s="35"/>
    </row>
    <row r="90" customFormat="false" ht="103.5" hidden="false" customHeight="true" outlineLevel="0" collapsed="false">
      <c r="A90" s="27" t="s">
        <v>825</v>
      </c>
      <c r="B90" s="28" t="s">
        <v>710</v>
      </c>
      <c r="C90" s="36" t="s">
        <v>61</v>
      </c>
      <c r="D90" s="28" t="n">
        <v>1</v>
      </c>
      <c r="E90" s="28" t="n">
        <v>5</v>
      </c>
      <c r="F90" s="28" t="n">
        <v>5</v>
      </c>
      <c r="G90" s="30" t="s">
        <v>284</v>
      </c>
      <c r="H90" s="27" t="s">
        <v>285</v>
      </c>
      <c r="I90" s="27" t="s">
        <v>286</v>
      </c>
      <c r="J90" s="31" t="s">
        <v>287</v>
      </c>
      <c r="K90" s="31" t="s">
        <v>288</v>
      </c>
      <c r="L90" s="27" t="s">
        <v>289</v>
      </c>
      <c r="M90" s="27" t="s">
        <v>290</v>
      </c>
      <c r="N90" s="27" t="s">
        <v>291</v>
      </c>
      <c r="O90" s="27" t="s">
        <v>292</v>
      </c>
      <c r="P90" s="27" t="s">
        <v>293</v>
      </c>
      <c r="Q90" s="28" t="n">
        <v>1</v>
      </c>
      <c r="R90" s="32" t="s">
        <v>53</v>
      </c>
      <c r="S90" s="32"/>
      <c r="T90" s="35"/>
    </row>
    <row r="91" customFormat="false" ht="103.5" hidden="false" customHeight="true" outlineLevel="0" collapsed="false">
      <c r="A91" s="27" t="s">
        <v>826</v>
      </c>
      <c r="B91" s="28" t="s">
        <v>710</v>
      </c>
      <c r="C91" s="36" t="s">
        <v>61</v>
      </c>
      <c r="D91" s="28" t="n">
        <v>2</v>
      </c>
      <c r="E91" s="28" t="n">
        <v>1</v>
      </c>
      <c r="F91" s="28" t="n">
        <v>6</v>
      </c>
      <c r="G91" s="30" t="s">
        <v>827</v>
      </c>
      <c r="H91" s="27" t="s">
        <v>828</v>
      </c>
      <c r="I91" s="27" t="s">
        <v>829</v>
      </c>
      <c r="J91" s="31" t="s">
        <v>298</v>
      </c>
      <c r="K91" s="31" t="s">
        <v>830</v>
      </c>
      <c r="L91" s="27" t="s">
        <v>831</v>
      </c>
      <c r="M91" s="27" t="s">
        <v>254</v>
      </c>
      <c r="N91" s="27" t="s">
        <v>832</v>
      </c>
      <c r="O91" s="27"/>
      <c r="P91" s="27" t="s">
        <v>256</v>
      </c>
      <c r="Q91" s="28" t="n">
        <v>1</v>
      </c>
      <c r="R91" s="32" t="s">
        <v>53</v>
      </c>
      <c r="S91" s="32"/>
      <c r="T91" s="35"/>
    </row>
    <row r="92" customFormat="false" ht="103.5" hidden="false" customHeight="true" outlineLevel="0" collapsed="false">
      <c r="A92" s="27" t="s">
        <v>833</v>
      </c>
      <c r="B92" s="28" t="s">
        <v>710</v>
      </c>
      <c r="C92" s="36" t="s">
        <v>61</v>
      </c>
      <c r="D92" s="28" t="n">
        <v>2</v>
      </c>
      <c r="E92" s="28" t="n">
        <v>2</v>
      </c>
      <c r="F92" s="28" t="n">
        <v>7</v>
      </c>
      <c r="G92" s="30" t="s">
        <v>834</v>
      </c>
      <c r="H92" s="27" t="s">
        <v>835</v>
      </c>
      <c r="I92" s="27" t="s">
        <v>836</v>
      </c>
      <c r="J92" s="31" t="s">
        <v>306</v>
      </c>
      <c r="K92" s="31" t="s">
        <v>837</v>
      </c>
      <c r="L92" s="27" t="s">
        <v>838</v>
      </c>
      <c r="M92" s="27" t="s">
        <v>254</v>
      </c>
      <c r="N92" s="27" t="s">
        <v>732</v>
      </c>
      <c r="O92" s="27" t="s">
        <v>839</v>
      </c>
      <c r="P92" s="27" t="s">
        <v>256</v>
      </c>
      <c r="Q92" s="28" t="n">
        <v>1</v>
      </c>
      <c r="R92" s="32" t="s">
        <v>53</v>
      </c>
      <c r="S92" s="32"/>
      <c r="T92" s="35"/>
    </row>
    <row r="93" customFormat="false" ht="103.5" hidden="false" customHeight="true" outlineLevel="0" collapsed="false">
      <c r="A93" s="27" t="s">
        <v>840</v>
      </c>
      <c r="B93" s="28" t="s">
        <v>710</v>
      </c>
      <c r="C93" s="36" t="s">
        <v>61</v>
      </c>
      <c r="D93" s="28" t="n">
        <v>2</v>
      </c>
      <c r="E93" s="28" t="n">
        <v>3</v>
      </c>
      <c r="F93" s="28" t="n">
        <v>8</v>
      </c>
      <c r="G93" s="30" t="s">
        <v>841</v>
      </c>
      <c r="H93" s="27" t="s">
        <v>842</v>
      </c>
      <c r="I93" s="27" t="s">
        <v>843</v>
      </c>
      <c r="J93" s="31" t="s">
        <v>314</v>
      </c>
      <c r="K93" s="31" t="s">
        <v>844</v>
      </c>
      <c r="L93" s="27" t="s">
        <v>845</v>
      </c>
      <c r="M93" s="27" t="s">
        <v>317</v>
      </c>
      <c r="N93" s="27" t="s">
        <v>150</v>
      </c>
      <c r="O93" s="27" t="s">
        <v>318</v>
      </c>
      <c r="P93" s="27" t="s">
        <v>256</v>
      </c>
      <c r="Q93" s="28" t="n">
        <v>1</v>
      </c>
      <c r="R93" s="32" t="s">
        <v>53</v>
      </c>
      <c r="S93" s="32"/>
      <c r="T93" s="35"/>
    </row>
    <row r="94" customFormat="false" ht="103.5" hidden="false" customHeight="true" outlineLevel="0" collapsed="false">
      <c r="A94" s="27" t="s">
        <v>846</v>
      </c>
      <c r="B94" s="28" t="s">
        <v>710</v>
      </c>
      <c r="C94" s="36" t="s">
        <v>61</v>
      </c>
      <c r="D94" s="28" t="n">
        <v>2</v>
      </c>
      <c r="E94" s="28" t="n">
        <v>4</v>
      </c>
      <c r="F94" s="28" t="n">
        <v>9</v>
      </c>
      <c r="G94" s="30" t="s">
        <v>847</v>
      </c>
      <c r="H94" s="27" t="s">
        <v>321</v>
      </c>
      <c r="I94" s="27" t="s">
        <v>322</v>
      </c>
      <c r="J94" s="31" t="s">
        <v>323</v>
      </c>
      <c r="K94" s="31" t="s">
        <v>848</v>
      </c>
      <c r="L94" s="27" t="s">
        <v>849</v>
      </c>
      <c r="M94" s="27" t="s">
        <v>254</v>
      </c>
      <c r="N94" s="27" t="s">
        <v>675</v>
      </c>
      <c r="O94" s="27" t="s">
        <v>850</v>
      </c>
      <c r="P94" s="27" t="s">
        <v>256</v>
      </c>
      <c r="Q94" s="28" t="n">
        <v>1</v>
      </c>
      <c r="R94" s="32" t="s">
        <v>53</v>
      </c>
      <c r="S94" s="32"/>
      <c r="T94" s="35"/>
    </row>
    <row r="95" customFormat="false" ht="103.5" hidden="false" customHeight="true" outlineLevel="0" collapsed="false">
      <c r="A95" s="27" t="s">
        <v>851</v>
      </c>
      <c r="B95" s="28" t="s">
        <v>710</v>
      </c>
      <c r="C95" s="36" t="s">
        <v>61</v>
      </c>
      <c r="D95" s="28" t="n">
        <v>2</v>
      </c>
      <c r="E95" s="28" t="n">
        <v>5</v>
      </c>
      <c r="F95" s="28" t="n">
        <v>10</v>
      </c>
      <c r="G95" s="30" t="s">
        <v>328</v>
      </c>
      <c r="H95" s="27" t="s">
        <v>329</v>
      </c>
      <c r="I95" s="27" t="s">
        <v>330</v>
      </c>
      <c r="J95" s="31" t="s">
        <v>331</v>
      </c>
      <c r="K95" s="31" t="s">
        <v>852</v>
      </c>
      <c r="L95" s="27" t="s">
        <v>853</v>
      </c>
      <c r="M95" s="27" t="s">
        <v>290</v>
      </c>
      <c r="N95" s="27" t="s">
        <v>291</v>
      </c>
      <c r="O95" s="27" t="s">
        <v>334</v>
      </c>
      <c r="P95" s="27" t="s">
        <v>293</v>
      </c>
      <c r="Q95" s="28" t="n">
        <v>1</v>
      </c>
      <c r="R95" s="32" t="s">
        <v>53</v>
      </c>
      <c r="S95" s="32"/>
      <c r="T95" s="35"/>
    </row>
    <row r="96" customFormat="false" ht="103.5" hidden="false" customHeight="true" outlineLevel="0" collapsed="false">
      <c r="A96" s="27" t="s">
        <v>854</v>
      </c>
      <c r="B96" s="28" t="s">
        <v>710</v>
      </c>
      <c r="C96" s="36" t="s">
        <v>61</v>
      </c>
      <c r="D96" s="28" t="n">
        <v>3</v>
      </c>
      <c r="E96" s="28" t="n">
        <v>1</v>
      </c>
      <c r="F96" s="28" t="n">
        <v>11</v>
      </c>
      <c r="G96" s="30" t="s">
        <v>379</v>
      </c>
      <c r="H96" s="27" t="s">
        <v>855</v>
      </c>
      <c r="I96" s="27" t="s">
        <v>856</v>
      </c>
      <c r="J96" s="31" t="s">
        <v>857</v>
      </c>
      <c r="K96" s="31" t="s">
        <v>858</v>
      </c>
      <c r="L96" s="27" t="s">
        <v>859</v>
      </c>
      <c r="M96" s="27" t="s">
        <v>385</v>
      </c>
      <c r="N96" s="27" t="s">
        <v>217</v>
      </c>
      <c r="O96" s="27" t="s">
        <v>860</v>
      </c>
      <c r="P96" s="27" t="s">
        <v>256</v>
      </c>
      <c r="Q96" s="28" t="n">
        <v>3</v>
      </c>
      <c r="R96" s="32" t="s">
        <v>53</v>
      </c>
      <c r="S96" s="32"/>
      <c r="T96" s="35"/>
    </row>
    <row r="97" customFormat="false" ht="103.5" hidden="false" customHeight="true" outlineLevel="0" collapsed="false">
      <c r="A97" s="27" t="s">
        <v>861</v>
      </c>
      <c r="B97" s="28" t="s">
        <v>710</v>
      </c>
      <c r="C97" s="36" t="s">
        <v>61</v>
      </c>
      <c r="D97" s="28" t="n">
        <v>3</v>
      </c>
      <c r="E97" s="28" t="n">
        <v>2</v>
      </c>
      <c r="F97" s="28" t="n">
        <v>12</v>
      </c>
      <c r="G97" s="30" t="s">
        <v>862</v>
      </c>
      <c r="H97" s="27" t="s">
        <v>863</v>
      </c>
      <c r="I97" s="27" t="s">
        <v>864</v>
      </c>
      <c r="J97" s="31" t="s">
        <v>347</v>
      </c>
      <c r="K97" s="31" t="s">
        <v>865</v>
      </c>
      <c r="L97" s="27" t="s">
        <v>866</v>
      </c>
      <c r="M97" s="27" t="s">
        <v>254</v>
      </c>
      <c r="N97" s="27" t="s">
        <v>190</v>
      </c>
      <c r="O97" s="27" t="s">
        <v>867</v>
      </c>
      <c r="P97" s="27" t="s">
        <v>256</v>
      </c>
      <c r="Q97" s="28" t="n">
        <v>3</v>
      </c>
      <c r="R97" s="32" t="s">
        <v>53</v>
      </c>
      <c r="S97" s="32"/>
      <c r="T97" s="35"/>
    </row>
    <row r="98" customFormat="false" ht="103.5" hidden="false" customHeight="true" outlineLevel="0" collapsed="false">
      <c r="A98" s="27" t="s">
        <v>868</v>
      </c>
      <c r="B98" s="28" t="s">
        <v>710</v>
      </c>
      <c r="C98" s="36" t="s">
        <v>61</v>
      </c>
      <c r="D98" s="28" t="n">
        <v>3</v>
      </c>
      <c r="E98" s="28" t="n">
        <v>3</v>
      </c>
      <c r="F98" s="28" t="n">
        <v>13</v>
      </c>
      <c r="G98" s="30" t="s">
        <v>352</v>
      </c>
      <c r="H98" s="27" t="s">
        <v>869</v>
      </c>
      <c r="I98" s="27" t="s">
        <v>870</v>
      </c>
      <c r="J98" s="31" t="s">
        <v>355</v>
      </c>
      <c r="K98" s="31" t="s">
        <v>871</v>
      </c>
      <c r="L98" s="27" t="s">
        <v>872</v>
      </c>
      <c r="M98" s="27" t="s">
        <v>254</v>
      </c>
      <c r="N98" s="27" t="s">
        <v>359</v>
      </c>
      <c r="O98" s="27"/>
      <c r="P98" s="27" t="s">
        <v>256</v>
      </c>
      <c r="Q98" s="28" t="n">
        <v>3</v>
      </c>
      <c r="R98" s="32" t="s">
        <v>53</v>
      </c>
      <c r="S98" s="32"/>
      <c r="T98" s="35"/>
    </row>
    <row r="99" customFormat="false" ht="103.5" hidden="false" customHeight="true" outlineLevel="0" collapsed="false">
      <c r="A99" s="27" t="s">
        <v>873</v>
      </c>
      <c r="B99" s="28" t="s">
        <v>710</v>
      </c>
      <c r="C99" s="36" t="s">
        <v>61</v>
      </c>
      <c r="D99" s="28" t="n">
        <v>3</v>
      </c>
      <c r="E99" s="28" t="n">
        <v>4</v>
      </c>
      <c r="F99" s="28" t="n">
        <v>14</v>
      </c>
      <c r="G99" s="30" t="s">
        <v>874</v>
      </c>
      <c r="H99" s="27" t="s">
        <v>875</v>
      </c>
      <c r="I99" s="27" t="s">
        <v>876</v>
      </c>
      <c r="J99" s="31" t="s">
        <v>364</v>
      </c>
      <c r="K99" s="31" t="s">
        <v>877</v>
      </c>
      <c r="L99" s="27" t="s">
        <v>878</v>
      </c>
      <c r="M99" s="27" t="s">
        <v>254</v>
      </c>
      <c r="N99" s="27" t="s">
        <v>879</v>
      </c>
      <c r="O99" s="27"/>
      <c r="P99" s="27" t="s">
        <v>256</v>
      </c>
      <c r="Q99" s="28" t="n">
        <v>3</v>
      </c>
      <c r="R99" s="32" t="s">
        <v>53</v>
      </c>
      <c r="S99" s="32"/>
      <c r="T99" s="35"/>
    </row>
    <row r="100" customFormat="false" ht="103.5" hidden="false" customHeight="true" outlineLevel="0" collapsed="false">
      <c r="A100" s="27" t="s">
        <v>880</v>
      </c>
      <c r="B100" s="28" t="s">
        <v>710</v>
      </c>
      <c r="C100" s="36" t="s">
        <v>61</v>
      </c>
      <c r="D100" s="28" t="n">
        <v>3</v>
      </c>
      <c r="E100" s="28" t="n">
        <v>5</v>
      </c>
      <c r="F100" s="28" t="n">
        <v>15</v>
      </c>
      <c r="G100" s="30" t="s">
        <v>881</v>
      </c>
      <c r="H100" s="27" t="s">
        <v>371</v>
      </c>
      <c r="I100" s="27" t="s">
        <v>372</v>
      </c>
      <c r="J100" s="31" t="s">
        <v>882</v>
      </c>
      <c r="K100" s="31" t="s">
        <v>883</v>
      </c>
      <c r="L100" s="27" t="s">
        <v>884</v>
      </c>
      <c r="M100" s="27" t="s">
        <v>290</v>
      </c>
      <c r="N100" s="27" t="s">
        <v>291</v>
      </c>
      <c r="O100" s="27" t="s">
        <v>377</v>
      </c>
      <c r="P100" s="27" t="s">
        <v>293</v>
      </c>
      <c r="Q100" s="28" t="n">
        <v>3</v>
      </c>
      <c r="R100" s="32" t="s">
        <v>53</v>
      </c>
      <c r="S100" s="32"/>
      <c r="T100" s="35"/>
    </row>
    <row r="101" customFormat="false" ht="103.5" hidden="false" customHeight="true" outlineLevel="0" collapsed="false">
      <c r="A101" s="27" t="s">
        <v>885</v>
      </c>
      <c r="B101" s="28" t="s">
        <v>710</v>
      </c>
      <c r="C101" s="36" t="s">
        <v>61</v>
      </c>
      <c r="D101" s="28" t="n">
        <v>4</v>
      </c>
      <c r="E101" s="28" t="n">
        <v>1</v>
      </c>
      <c r="F101" s="28" t="n">
        <v>16</v>
      </c>
      <c r="G101" s="30" t="s">
        <v>886</v>
      </c>
      <c r="H101" s="27" t="s">
        <v>887</v>
      </c>
      <c r="I101" s="27" t="s">
        <v>888</v>
      </c>
      <c r="J101" s="31" t="s">
        <v>382</v>
      </c>
      <c r="K101" s="31" t="s">
        <v>889</v>
      </c>
      <c r="L101" s="27" t="s">
        <v>890</v>
      </c>
      <c r="M101" s="27" t="s">
        <v>254</v>
      </c>
      <c r="N101" s="27" t="s">
        <v>786</v>
      </c>
      <c r="O101" s="27" t="s">
        <v>891</v>
      </c>
      <c r="P101" s="27" t="s">
        <v>256</v>
      </c>
      <c r="Q101" s="28" t="n">
        <v>3</v>
      </c>
      <c r="R101" s="32" t="s">
        <v>53</v>
      </c>
      <c r="S101" s="32"/>
      <c r="T101" s="35"/>
    </row>
    <row r="102" customFormat="false" ht="103.5" hidden="false" customHeight="true" outlineLevel="0" collapsed="false">
      <c r="A102" s="27" t="s">
        <v>892</v>
      </c>
      <c r="B102" s="28" t="s">
        <v>710</v>
      </c>
      <c r="C102" s="36" t="s">
        <v>61</v>
      </c>
      <c r="D102" s="28" t="n">
        <v>4</v>
      </c>
      <c r="E102" s="28" t="n">
        <v>2</v>
      </c>
      <c r="F102" s="28" t="n">
        <v>17</v>
      </c>
      <c r="G102" s="30" t="s">
        <v>893</v>
      </c>
      <c r="H102" s="27" t="s">
        <v>894</v>
      </c>
      <c r="I102" s="27" t="s">
        <v>895</v>
      </c>
      <c r="J102" s="31" t="s">
        <v>896</v>
      </c>
      <c r="K102" s="31" t="s">
        <v>897</v>
      </c>
      <c r="L102" s="27" t="s">
        <v>898</v>
      </c>
      <c r="M102" s="27" t="s">
        <v>899</v>
      </c>
      <c r="N102" s="27" t="s">
        <v>208</v>
      </c>
      <c r="O102" s="27" t="s">
        <v>900</v>
      </c>
      <c r="P102" s="27" t="s">
        <v>256</v>
      </c>
      <c r="Q102" s="28" t="n">
        <v>3</v>
      </c>
      <c r="R102" s="32" t="s">
        <v>53</v>
      </c>
      <c r="S102" s="32"/>
      <c r="T102" s="35"/>
    </row>
    <row r="103" customFormat="false" ht="103.5" hidden="false" customHeight="true" outlineLevel="0" collapsed="false">
      <c r="A103" s="27" t="s">
        <v>901</v>
      </c>
      <c r="B103" s="28" t="s">
        <v>710</v>
      </c>
      <c r="C103" s="36" t="s">
        <v>61</v>
      </c>
      <c r="D103" s="28" t="n">
        <v>4</v>
      </c>
      <c r="E103" s="28" t="n">
        <v>3</v>
      </c>
      <c r="F103" s="28" t="n">
        <v>18</v>
      </c>
      <c r="G103" s="30" t="s">
        <v>902</v>
      </c>
      <c r="H103" s="27" t="s">
        <v>903</v>
      </c>
      <c r="I103" s="27" t="s">
        <v>904</v>
      </c>
      <c r="J103" s="31" t="s">
        <v>905</v>
      </c>
      <c r="K103" s="31" t="s">
        <v>906</v>
      </c>
      <c r="L103" s="27" t="s">
        <v>907</v>
      </c>
      <c r="M103" s="27" t="s">
        <v>385</v>
      </c>
      <c r="N103" s="27" t="s">
        <v>675</v>
      </c>
      <c r="O103" s="27" t="s">
        <v>908</v>
      </c>
      <c r="P103" s="27" t="s">
        <v>256</v>
      </c>
      <c r="Q103" s="28" t="n">
        <v>3</v>
      </c>
      <c r="R103" s="32" t="s">
        <v>53</v>
      </c>
      <c r="S103" s="32"/>
      <c r="T103" s="35"/>
    </row>
    <row r="104" customFormat="false" ht="103.5" hidden="false" customHeight="true" outlineLevel="0" collapsed="false">
      <c r="A104" s="27" t="s">
        <v>909</v>
      </c>
      <c r="B104" s="28" t="s">
        <v>710</v>
      </c>
      <c r="C104" s="36" t="s">
        <v>61</v>
      </c>
      <c r="D104" s="28" t="n">
        <v>4</v>
      </c>
      <c r="E104" s="28" t="n">
        <v>4</v>
      </c>
      <c r="F104" s="28" t="n">
        <v>19</v>
      </c>
      <c r="G104" s="30" t="s">
        <v>910</v>
      </c>
      <c r="H104" s="27" t="s">
        <v>911</v>
      </c>
      <c r="I104" s="27" t="s">
        <v>912</v>
      </c>
      <c r="J104" s="31" t="s">
        <v>913</v>
      </c>
      <c r="K104" s="31" t="s">
        <v>914</v>
      </c>
      <c r="L104" s="27" t="s">
        <v>915</v>
      </c>
      <c r="M104" s="27" t="s">
        <v>916</v>
      </c>
      <c r="N104" s="27" t="s">
        <v>809</v>
      </c>
      <c r="O104" s="27" t="s">
        <v>541</v>
      </c>
      <c r="P104" s="27" t="s">
        <v>256</v>
      </c>
      <c r="Q104" s="28" t="n">
        <v>3</v>
      </c>
      <c r="R104" s="32" t="s">
        <v>53</v>
      </c>
      <c r="S104" s="32"/>
      <c r="T104" s="35"/>
    </row>
    <row r="105" customFormat="false" ht="103.5" hidden="false" customHeight="true" outlineLevel="0" collapsed="false">
      <c r="A105" s="27" t="s">
        <v>917</v>
      </c>
      <c r="B105" s="28" t="s">
        <v>710</v>
      </c>
      <c r="C105" s="36" t="s">
        <v>61</v>
      </c>
      <c r="D105" s="28" t="n">
        <v>4</v>
      </c>
      <c r="E105" s="28" t="n">
        <v>5</v>
      </c>
      <c r="F105" s="28" t="n">
        <v>20</v>
      </c>
      <c r="G105" s="30" t="s">
        <v>918</v>
      </c>
      <c r="H105" s="27" t="s">
        <v>919</v>
      </c>
      <c r="I105" s="27" t="s">
        <v>920</v>
      </c>
      <c r="J105" s="31" t="s">
        <v>416</v>
      </c>
      <c r="K105" s="31" t="s">
        <v>921</v>
      </c>
      <c r="L105" s="27" t="s">
        <v>922</v>
      </c>
      <c r="M105" s="27" t="s">
        <v>410</v>
      </c>
      <c r="N105" s="27" t="s">
        <v>420</v>
      </c>
      <c r="O105" s="27"/>
      <c r="P105" s="27" t="s">
        <v>256</v>
      </c>
      <c r="Q105" s="28" t="n">
        <v>3</v>
      </c>
      <c r="R105" s="32" t="s">
        <v>53</v>
      </c>
      <c r="S105" s="32"/>
      <c r="T105" s="35"/>
    </row>
    <row r="106" customFormat="false" ht="103.5" hidden="false" customHeight="true" outlineLevel="0" collapsed="false">
      <c r="A106" s="27" t="s">
        <v>923</v>
      </c>
      <c r="B106" s="28" t="s">
        <v>710</v>
      </c>
      <c r="C106" s="37" t="s">
        <v>62</v>
      </c>
      <c r="D106" s="28" t="n">
        <v>1</v>
      </c>
      <c r="E106" s="28" t="n">
        <v>1</v>
      </c>
      <c r="F106" s="28" t="n">
        <v>1</v>
      </c>
      <c r="G106" s="30" t="s">
        <v>422</v>
      </c>
      <c r="H106" s="27" t="s">
        <v>423</v>
      </c>
      <c r="I106" s="27" t="s">
        <v>424</v>
      </c>
      <c r="J106" s="31" t="s">
        <v>425</v>
      </c>
      <c r="K106" s="31" t="s">
        <v>426</v>
      </c>
      <c r="L106" s="27" t="s">
        <v>427</v>
      </c>
      <c r="M106" s="27" t="s">
        <v>428</v>
      </c>
      <c r="N106" s="27" t="s">
        <v>131</v>
      </c>
      <c r="O106" s="27" t="s">
        <v>924</v>
      </c>
      <c r="P106" s="27" t="s">
        <v>430</v>
      </c>
      <c r="Q106" s="28" t="n">
        <v>2</v>
      </c>
      <c r="R106" s="32" t="s">
        <v>53</v>
      </c>
      <c r="S106" s="32"/>
      <c r="T106" s="35"/>
    </row>
    <row r="107" customFormat="false" ht="103.5" hidden="false" customHeight="true" outlineLevel="0" collapsed="false">
      <c r="A107" s="27" t="s">
        <v>925</v>
      </c>
      <c r="B107" s="28" t="s">
        <v>710</v>
      </c>
      <c r="C107" s="37" t="s">
        <v>62</v>
      </c>
      <c r="D107" s="28" t="n">
        <v>1</v>
      </c>
      <c r="E107" s="28" t="n">
        <v>2</v>
      </c>
      <c r="F107" s="28" t="n">
        <v>2</v>
      </c>
      <c r="G107" s="30" t="s">
        <v>432</v>
      </c>
      <c r="H107" s="27" t="s">
        <v>926</v>
      </c>
      <c r="I107" s="27" t="s">
        <v>927</v>
      </c>
      <c r="J107" s="31" t="s">
        <v>435</v>
      </c>
      <c r="K107" s="31" t="s">
        <v>436</v>
      </c>
      <c r="L107" s="27" t="s">
        <v>437</v>
      </c>
      <c r="M107" s="27" t="s">
        <v>438</v>
      </c>
      <c r="N107" s="27" t="s">
        <v>102</v>
      </c>
      <c r="O107" s="27" t="s">
        <v>439</v>
      </c>
      <c r="P107" s="27" t="s">
        <v>440</v>
      </c>
      <c r="Q107" s="28" t="n">
        <v>2</v>
      </c>
      <c r="R107" s="32" t="s">
        <v>53</v>
      </c>
      <c r="S107" s="32"/>
      <c r="T107" s="35"/>
    </row>
    <row r="108" customFormat="false" ht="103.5" hidden="false" customHeight="true" outlineLevel="0" collapsed="false">
      <c r="A108" s="27" t="s">
        <v>928</v>
      </c>
      <c r="B108" s="28" t="s">
        <v>710</v>
      </c>
      <c r="C108" s="37" t="s">
        <v>62</v>
      </c>
      <c r="D108" s="28" t="n">
        <v>1</v>
      </c>
      <c r="E108" s="28" t="n">
        <v>3</v>
      </c>
      <c r="F108" s="28" t="n">
        <v>3</v>
      </c>
      <c r="G108" s="30" t="s">
        <v>442</v>
      </c>
      <c r="H108" s="27" t="s">
        <v>929</v>
      </c>
      <c r="I108" s="27" t="s">
        <v>930</v>
      </c>
      <c r="J108" s="31" t="s">
        <v>445</v>
      </c>
      <c r="K108" s="31" t="s">
        <v>446</v>
      </c>
      <c r="L108" s="27" t="s">
        <v>447</v>
      </c>
      <c r="M108" s="27" t="s">
        <v>448</v>
      </c>
      <c r="N108" s="27" t="s">
        <v>170</v>
      </c>
      <c r="O108" s="27" t="s">
        <v>931</v>
      </c>
      <c r="P108" s="27" t="s">
        <v>440</v>
      </c>
      <c r="Q108" s="28" t="n">
        <v>2</v>
      </c>
      <c r="R108" s="32" t="s">
        <v>53</v>
      </c>
      <c r="S108" s="32"/>
      <c r="T108" s="35"/>
    </row>
    <row r="109" customFormat="false" ht="103.5" hidden="false" customHeight="true" outlineLevel="0" collapsed="false">
      <c r="A109" s="27" t="s">
        <v>932</v>
      </c>
      <c r="B109" s="28" t="s">
        <v>710</v>
      </c>
      <c r="C109" s="37" t="s">
        <v>62</v>
      </c>
      <c r="D109" s="28" t="n">
        <v>1</v>
      </c>
      <c r="E109" s="28" t="n">
        <v>4</v>
      </c>
      <c r="F109" s="28" t="n">
        <v>4</v>
      </c>
      <c r="G109" s="30" t="s">
        <v>451</v>
      </c>
      <c r="H109" s="27" t="s">
        <v>933</v>
      </c>
      <c r="I109" s="27" t="s">
        <v>934</v>
      </c>
      <c r="J109" s="31" t="s">
        <v>454</v>
      </c>
      <c r="K109" s="31" t="s">
        <v>455</v>
      </c>
      <c r="L109" s="27" t="s">
        <v>456</v>
      </c>
      <c r="M109" s="27" t="s">
        <v>935</v>
      </c>
      <c r="N109" s="27" t="s">
        <v>131</v>
      </c>
      <c r="O109" s="27" t="s">
        <v>936</v>
      </c>
      <c r="P109" s="27" t="s">
        <v>430</v>
      </c>
      <c r="Q109" s="28" t="n">
        <v>2</v>
      </c>
      <c r="R109" s="32" t="s">
        <v>53</v>
      </c>
      <c r="S109" s="32"/>
      <c r="T109" s="35"/>
    </row>
    <row r="110" customFormat="false" ht="103.5" hidden="false" customHeight="true" outlineLevel="0" collapsed="false">
      <c r="A110" s="27" t="s">
        <v>937</v>
      </c>
      <c r="B110" s="28" t="s">
        <v>710</v>
      </c>
      <c r="C110" s="37" t="s">
        <v>62</v>
      </c>
      <c r="D110" s="28" t="n">
        <v>2</v>
      </c>
      <c r="E110" s="28" t="n">
        <v>1</v>
      </c>
      <c r="F110" s="28" t="n">
        <v>5</v>
      </c>
      <c r="G110" s="30" t="s">
        <v>459</v>
      </c>
      <c r="H110" s="27" t="s">
        <v>460</v>
      </c>
      <c r="I110" s="27" t="s">
        <v>461</v>
      </c>
      <c r="J110" s="31" t="s">
        <v>938</v>
      </c>
      <c r="K110" s="31" t="s">
        <v>939</v>
      </c>
      <c r="L110" s="27" t="s">
        <v>940</v>
      </c>
      <c r="M110" s="27" t="s">
        <v>941</v>
      </c>
      <c r="N110" s="27" t="s">
        <v>466</v>
      </c>
      <c r="O110" s="27" t="s">
        <v>942</v>
      </c>
      <c r="P110" s="27" t="s">
        <v>468</v>
      </c>
      <c r="Q110" s="28" t="n">
        <v>2</v>
      </c>
      <c r="R110" s="32" t="s">
        <v>53</v>
      </c>
      <c r="S110" s="32"/>
      <c r="T110" s="35"/>
    </row>
    <row r="111" customFormat="false" ht="103.5" hidden="false" customHeight="true" outlineLevel="0" collapsed="false">
      <c r="A111" s="27" t="s">
        <v>943</v>
      </c>
      <c r="B111" s="28" t="s">
        <v>710</v>
      </c>
      <c r="C111" s="37" t="s">
        <v>62</v>
      </c>
      <c r="D111" s="28" t="n">
        <v>2</v>
      </c>
      <c r="E111" s="28" t="n">
        <v>2</v>
      </c>
      <c r="F111" s="28" t="n">
        <v>6</v>
      </c>
      <c r="G111" s="30" t="s">
        <v>470</v>
      </c>
      <c r="H111" s="27" t="s">
        <v>944</v>
      </c>
      <c r="I111" s="27" t="s">
        <v>945</v>
      </c>
      <c r="J111" s="31" t="s">
        <v>473</v>
      </c>
      <c r="K111" s="31" t="s">
        <v>946</v>
      </c>
      <c r="L111" s="27" t="s">
        <v>947</v>
      </c>
      <c r="M111" s="27" t="s">
        <v>948</v>
      </c>
      <c r="N111" s="27" t="s">
        <v>122</v>
      </c>
      <c r="O111" s="27" t="s">
        <v>477</v>
      </c>
      <c r="P111" s="27" t="s">
        <v>478</v>
      </c>
      <c r="Q111" s="28" t="n">
        <v>2</v>
      </c>
      <c r="R111" s="32" t="s">
        <v>53</v>
      </c>
      <c r="S111" s="32"/>
      <c r="T111" s="35"/>
    </row>
    <row r="112" customFormat="false" ht="103.5" hidden="false" customHeight="true" outlineLevel="0" collapsed="false">
      <c r="A112" s="27" t="s">
        <v>949</v>
      </c>
      <c r="B112" s="28" t="s">
        <v>710</v>
      </c>
      <c r="C112" s="37" t="s">
        <v>62</v>
      </c>
      <c r="D112" s="28" t="n">
        <v>2</v>
      </c>
      <c r="E112" s="28" t="n">
        <v>3</v>
      </c>
      <c r="F112" s="28" t="n">
        <v>7</v>
      </c>
      <c r="G112" s="30" t="s">
        <v>950</v>
      </c>
      <c r="H112" s="27" t="s">
        <v>951</v>
      </c>
      <c r="I112" s="27" t="s">
        <v>952</v>
      </c>
      <c r="J112" s="31" t="s">
        <v>483</v>
      </c>
      <c r="K112" s="31" t="s">
        <v>953</v>
      </c>
      <c r="L112" s="27" t="s">
        <v>954</v>
      </c>
      <c r="M112" s="27" t="s">
        <v>955</v>
      </c>
      <c r="N112" s="27" t="s">
        <v>150</v>
      </c>
      <c r="O112" s="27" t="s">
        <v>487</v>
      </c>
      <c r="P112" s="27" t="s">
        <v>478</v>
      </c>
      <c r="Q112" s="28" t="n">
        <v>2</v>
      </c>
      <c r="R112" s="32" t="s">
        <v>53</v>
      </c>
      <c r="S112" s="32"/>
      <c r="T112" s="35"/>
    </row>
    <row r="113" customFormat="false" ht="103.5" hidden="false" customHeight="true" outlineLevel="0" collapsed="false">
      <c r="A113" s="27" t="s">
        <v>956</v>
      </c>
      <c r="B113" s="28" t="s">
        <v>710</v>
      </c>
      <c r="C113" s="37" t="s">
        <v>62</v>
      </c>
      <c r="D113" s="28" t="n">
        <v>2</v>
      </c>
      <c r="E113" s="28" t="n">
        <v>4</v>
      </c>
      <c r="F113" s="28" t="n">
        <v>8</v>
      </c>
      <c r="G113" s="30" t="s">
        <v>957</v>
      </c>
      <c r="H113" s="27" t="s">
        <v>958</v>
      </c>
      <c r="I113" s="27" t="s">
        <v>959</v>
      </c>
      <c r="J113" s="31" t="s">
        <v>492</v>
      </c>
      <c r="K113" s="31" t="s">
        <v>960</v>
      </c>
      <c r="L113" s="27" t="s">
        <v>961</v>
      </c>
      <c r="M113" s="27" t="s">
        <v>465</v>
      </c>
      <c r="N113" s="27" t="s">
        <v>466</v>
      </c>
      <c r="O113" s="27" t="s">
        <v>962</v>
      </c>
      <c r="P113" s="27" t="s">
        <v>468</v>
      </c>
      <c r="Q113" s="28" t="n">
        <v>2</v>
      </c>
      <c r="R113" s="32" t="s">
        <v>53</v>
      </c>
      <c r="S113" s="32"/>
      <c r="T113" s="35"/>
    </row>
    <row r="114" customFormat="false" ht="103.5" hidden="false" customHeight="true" outlineLevel="0" collapsed="false">
      <c r="A114" s="27" t="s">
        <v>963</v>
      </c>
      <c r="B114" s="28" t="s">
        <v>710</v>
      </c>
      <c r="C114" s="37" t="s">
        <v>62</v>
      </c>
      <c r="D114" s="28" t="n">
        <v>3</v>
      </c>
      <c r="E114" s="28" t="n">
        <v>1</v>
      </c>
      <c r="F114" s="28" t="n">
        <v>9</v>
      </c>
      <c r="G114" s="30" t="s">
        <v>964</v>
      </c>
      <c r="H114" s="27" t="s">
        <v>965</v>
      </c>
      <c r="I114" s="27" t="s">
        <v>966</v>
      </c>
      <c r="J114" s="31" t="s">
        <v>967</v>
      </c>
      <c r="K114" s="31" t="s">
        <v>968</v>
      </c>
      <c r="L114" s="27" t="s">
        <v>969</v>
      </c>
      <c r="M114" s="27" t="s">
        <v>512</v>
      </c>
      <c r="N114" s="27" t="s">
        <v>217</v>
      </c>
      <c r="O114" s="27" t="s">
        <v>970</v>
      </c>
      <c r="P114" s="27" t="s">
        <v>478</v>
      </c>
      <c r="Q114" s="28" t="n">
        <v>3</v>
      </c>
      <c r="R114" s="32" t="s">
        <v>53</v>
      </c>
      <c r="S114" s="32"/>
      <c r="T114" s="35"/>
    </row>
    <row r="115" customFormat="false" ht="103.5" hidden="false" customHeight="true" outlineLevel="0" collapsed="false">
      <c r="A115" s="27" t="s">
        <v>971</v>
      </c>
      <c r="B115" s="28" t="s">
        <v>710</v>
      </c>
      <c r="C115" s="37" t="s">
        <v>62</v>
      </c>
      <c r="D115" s="28" t="n">
        <v>3</v>
      </c>
      <c r="E115" s="28" t="n">
        <v>2</v>
      </c>
      <c r="F115" s="28" t="n">
        <v>10</v>
      </c>
      <c r="G115" s="30" t="s">
        <v>972</v>
      </c>
      <c r="H115" s="27" t="s">
        <v>973</v>
      </c>
      <c r="I115" s="27" t="s">
        <v>974</v>
      </c>
      <c r="J115" s="31" t="s">
        <v>509</v>
      </c>
      <c r="K115" s="31" t="s">
        <v>975</v>
      </c>
      <c r="L115" s="27" t="s">
        <v>976</v>
      </c>
      <c r="M115" s="27" t="s">
        <v>486</v>
      </c>
      <c r="N115" s="27" t="s">
        <v>531</v>
      </c>
      <c r="O115" s="27" t="s">
        <v>532</v>
      </c>
      <c r="P115" s="27" t="s">
        <v>478</v>
      </c>
      <c r="Q115" s="28" t="n">
        <v>3</v>
      </c>
      <c r="R115" s="32" t="s">
        <v>53</v>
      </c>
      <c r="S115" s="32"/>
      <c r="T115" s="35"/>
    </row>
    <row r="116" customFormat="false" ht="103.5" hidden="false" customHeight="true" outlineLevel="0" collapsed="false">
      <c r="A116" s="27" t="s">
        <v>977</v>
      </c>
      <c r="B116" s="28" t="s">
        <v>710</v>
      </c>
      <c r="C116" s="37" t="s">
        <v>62</v>
      </c>
      <c r="D116" s="28" t="n">
        <v>3</v>
      </c>
      <c r="E116" s="28" t="n">
        <v>3</v>
      </c>
      <c r="F116" s="28" t="n">
        <v>11</v>
      </c>
      <c r="G116" s="30" t="s">
        <v>978</v>
      </c>
      <c r="H116" s="27" t="s">
        <v>979</v>
      </c>
      <c r="I116" s="27" t="s">
        <v>980</v>
      </c>
      <c r="J116" s="31" t="s">
        <v>981</v>
      </c>
      <c r="K116" s="31" t="s">
        <v>982</v>
      </c>
      <c r="L116" s="27" t="s">
        <v>983</v>
      </c>
      <c r="M116" s="27" t="s">
        <v>486</v>
      </c>
      <c r="N116" s="27" t="s">
        <v>208</v>
      </c>
      <c r="O116" s="27" t="s">
        <v>984</v>
      </c>
      <c r="P116" s="27" t="s">
        <v>478</v>
      </c>
      <c r="Q116" s="28" t="n">
        <v>3</v>
      </c>
      <c r="R116" s="32" t="s">
        <v>53</v>
      </c>
      <c r="S116" s="32"/>
      <c r="T116" s="35"/>
    </row>
    <row r="117" customFormat="false" ht="103.5" hidden="false" customHeight="true" outlineLevel="0" collapsed="false">
      <c r="A117" s="27" t="s">
        <v>985</v>
      </c>
      <c r="B117" s="28" t="s">
        <v>710</v>
      </c>
      <c r="C117" s="37" t="s">
        <v>62</v>
      </c>
      <c r="D117" s="28" t="n">
        <v>3</v>
      </c>
      <c r="E117" s="28" t="n">
        <v>4</v>
      </c>
      <c r="F117" s="28" t="n">
        <v>12</v>
      </c>
      <c r="G117" s="30" t="s">
        <v>986</v>
      </c>
      <c r="H117" s="27" t="s">
        <v>987</v>
      </c>
      <c r="I117" s="27" t="s">
        <v>988</v>
      </c>
      <c r="J117" s="31" t="s">
        <v>989</v>
      </c>
      <c r="K117" s="31" t="s">
        <v>990</v>
      </c>
      <c r="L117" s="27" t="s">
        <v>991</v>
      </c>
      <c r="M117" s="27" t="s">
        <v>486</v>
      </c>
      <c r="N117" s="27" t="s">
        <v>550</v>
      </c>
      <c r="O117" s="27" t="s">
        <v>992</v>
      </c>
      <c r="P117" s="27" t="s">
        <v>478</v>
      </c>
      <c r="Q117" s="28" t="n">
        <v>3</v>
      </c>
      <c r="R117" s="32" t="s">
        <v>53</v>
      </c>
      <c r="S117" s="32"/>
      <c r="T117" s="35"/>
    </row>
    <row r="118" customFormat="false" ht="103.5" hidden="false" customHeight="true" outlineLevel="0" collapsed="false">
      <c r="A118" s="27" t="s">
        <v>993</v>
      </c>
      <c r="B118" s="28" t="s">
        <v>710</v>
      </c>
      <c r="C118" s="37" t="s">
        <v>62</v>
      </c>
      <c r="D118" s="28" t="n">
        <v>4</v>
      </c>
      <c r="E118" s="28" t="n">
        <v>1</v>
      </c>
      <c r="F118" s="28" t="n">
        <v>13</v>
      </c>
      <c r="G118" s="30" t="s">
        <v>994</v>
      </c>
      <c r="H118" s="27" t="s">
        <v>995</v>
      </c>
      <c r="I118" s="27" t="s">
        <v>996</v>
      </c>
      <c r="J118" s="31" t="s">
        <v>997</v>
      </c>
      <c r="K118" s="31" t="s">
        <v>998</v>
      </c>
      <c r="L118" s="27" t="s">
        <v>999</v>
      </c>
      <c r="M118" s="27" t="s">
        <v>1000</v>
      </c>
      <c r="N118" s="27" t="s">
        <v>786</v>
      </c>
      <c r="O118" s="27" t="s">
        <v>513</v>
      </c>
      <c r="P118" s="27" t="s">
        <v>478</v>
      </c>
      <c r="Q118" s="28" t="n">
        <v>3</v>
      </c>
      <c r="R118" s="32" t="s">
        <v>53</v>
      </c>
      <c r="S118" s="32"/>
      <c r="T118" s="35"/>
    </row>
    <row r="119" customFormat="false" ht="103.5" hidden="false" customHeight="true" outlineLevel="0" collapsed="false">
      <c r="A119" s="27" t="s">
        <v>1001</v>
      </c>
      <c r="B119" s="28" t="s">
        <v>710</v>
      </c>
      <c r="C119" s="37" t="s">
        <v>62</v>
      </c>
      <c r="D119" s="28" t="n">
        <v>4</v>
      </c>
      <c r="E119" s="28" t="n">
        <v>2</v>
      </c>
      <c r="F119" s="28" t="n">
        <v>14</v>
      </c>
      <c r="G119" s="30" t="s">
        <v>1002</v>
      </c>
      <c r="H119" s="27" t="s">
        <v>1003</v>
      </c>
      <c r="I119" s="27" t="s">
        <v>1004</v>
      </c>
      <c r="J119" s="31" t="s">
        <v>546</v>
      </c>
      <c r="K119" s="31" t="s">
        <v>1005</v>
      </c>
      <c r="L119" s="27" t="s">
        <v>1006</v>
      </c>
      <c r="M119" s="27" t="s">
        <v>549</v>
      </c>
      <c r="N119" s="27" t="s">
        <v>550</v>
      </c>
      <c r="O119" s="27" t="s">
        <v>566</v>
      </c>
      <c r="P119" s="27" t="s">
        <v>478</v>
      </c>
      <c r="Q119" s="28" t="n">
        <v>3</v>
      </c>
      <c r="R119" s="32" t="s">
        <v>53</v>
      </c>
      <c r="S119" s="32"/>
      <c r="T119" s="35"/>
    </row>
    <row r="120" customFormat="false" ht="103.5" hidden="false" customHeight="true" outlineLevel="0" collapsed="false">
      <c r="A120" s="27" t="s">
        <v>1007</v>
      </c>
      <c r="B120" s="28" t="s">
        <v>710</v>
      </c>
      <c r="C120" s="37" t="s">
        <v>62</v>
      </c>
      <c r="D120" s="28" t="n">
        <v>4</v>
      </c>
      <c r="E120" s="28" t="n">
        <v>3</v>
      </c>
      <c r="F120" s="28" t="n">
        <v>15</v>
      </c>
      <c r="G120" s="30" t="s">
        <v>552</v>
      </c>
      <c r="H120" s="27" t="s">
        <v>1008</v>
      </c>
      <c r="I120" s="27" t="s">
        <v>1009</v>
      </c>
      <c r="J120" s="31" t="s">
        <v>1010</v>
      </c>
      <c r="K120" s="31" t="s">
        <v>1011</v>
      </c>
      <c r="L120" s="27" t="s">
        <v>1012</v>
      </c>
      <c r="M120" s="27" t="s">
        <v>512</v>
      </c>
      <c r="N120" s="27" t="s">
        <v>558</v>
      </c>
      <c r="O120" s="27"/>
      <c r="P120" s="27" t="s">
        <v>478</v>
      </c>
      <c r="Q120" s="28" t="n">
        <v>3</v>
      </c>
      <c r="R120" s="32" t="s">
        <v>53</v>
      </c>
      <c r="S120" s="32"/>
      <c r="T120" s="35"/>
    </row>
    <row r="121" customFormat="false" ht="103.5" hidden="false" customHeight="true" outlineLevel="0" collapsed="false">
      <c r="A121" s="27" t="s">
        <v>1013</v>
      </c>
      <c r="B121" s="28" t="s">
        <v>710</v>
      </c>
      <c r="C121" s="37" t="s">
        <v>62</v>
      </c>
      <c r="D121" s="28" t="n">
        <v>4</v>
      </c>
      <c r="E121" s="28" t="n">
        <v>4</v>
      </c>
      <c r="F121" s="28" t="n">
        <v>16</v>
      </c>
      <c r="G121" s="30" t="s">
        <v>1014</v>
      </c>
      <c r="H121" s="27" t="s">
        <v>1015</v>
      </c>
      <c r="I121" s="27" t="s">
        <v>1016</v>
      </c>
      <c r="J121" s="31" t="s">
        <v>1017</v>
      </c>
      <c r="K121" s="31" t="s">
        <v>1018</v>
      </c>
      <c r="L121" s="27" t="s">
        <v>1019</v>
      </c>
      <c r="M121" s="27" t="s">
        <v>1020</v>
      </c>
      <c r="N121" s="27" t="s">
        <v>531</v>
      </c>
      <c r="O121" s="27" t="s">
        <v>1021</v>
      </c>
      <c r="P121" s="27" t="s">
        <v>478</v>
      </c>
      <c r="Q121" s="28" t="n">
        <v>3</v>
      </c>
      <c r="R121" s="32" t="s">
        <v>53</v>
      </c>
      <c r="S121" s="32"/>
      <c r="T121" s="35"/>
    </row>
    <row r="122" customFormat="false" ht="103.5" hidden="false" customHeight="true" outlineLevel="0" collapsed="false">
      <c r="A122" s="27" t="s">
        <v>1022</v>
      </c>
      <c r="B122" s="28" t="s">
        <v>710</v>
      </c>
      <c r="C122" s="32" t="s">
        <v>63</v>
      </c>
      <c r="D122" s="28" t="n">
        <v>1</v>
      </c>
      <c r="E122" s="28" t="n">
        <v>1</v>
      </c>
      <c r="F122" s="28" t="n">
        <v>1</v>
      </c>
      <c r="G122" s="30" t="s">
        <v>568</v>
      </c>
      <c r="H122" s="27" t="s">
        <v>569</v>
      </c>
      <c r="I122" s="27" t="s">
        <v>570</v>
      </c>
      <c r="J122" s="31" t="s">
        <v>571</v>
      </c>
      <c r="K122" s="31" t="s">
        <v>572</v>
      </c>
      <c r="L122" s="27" t="s">
        <v>573</v>
      </c>
      <c r="M122" s="27" t="s">
        <v>574</v>
      </c>
      <c r="N122" s="27" t="s">
        <v>131</v>
      </c>
      <c r="O122" s="27" t="s">
        <v>1023</v>
      </c>
      <c r="P122" s="27" t="s">
        <v>576</v>
      </c>
      <c r="Q122" s="28" t="n">
        <v>2</v>
      </c>
      <c r="R122" s="32" t="s">
        <v>53</v>
      </c>
      <c r="S122" s="32"/>
      <c r="T122" s="35"/>
    </row>
    <row r="123" customFormat="false" ht="103.5" hidden="false" customHeight="true" outlineLevel="0" collapsed="false">
      <c r="A123" s="27" t="s">
        <v>1024</v>
      </c>
      <c r="B123" s="28" t="s">
        <v>710</v>
      </c>
      <c r="C123" s="32" t="s">
        <v>63</v>
      </c>
      <c r="D123" s="28" t="n">
        <v>1</v>
      </c>
      <c r="E123" s="28" t="n">
        <v>2</v>
      </c>
      <c r="F123" s="28" t="n">
        <v>2</v>
      </c>
      <c r="G123" s="30" t="s">
        <v>578</v>
      </c>
      <c r="H123" s="27" t="s">
        <v>579</v>
      </c>
      <c r="I123" s="27" t="s">
        <v>580</v>
      </c>
      <c r="J123" s="31" t="s">
        <v>581</v>
      </c>
      <c r="K123" s="31" t="s">
        <v>1025</v>
      </c>
      <c r="L123" s="27" t="s">
        <v>1026</v>
      </c>
      <c r="M123" s="27" t="s">
        <v>584</v>
      </c>
      <c r="N123" s="27" t="s">
        <v>131</v>
      </c>
      <c r="O123" s="27" t="s">
        <v>1027</v>
      </c>
      <c r="P123" s="27" t="s">
        <v>576</v>
      </c>
      <c r="Q123" s="28" t="n">
        <v>2</v>
      </c>
      <c r="R123" s="32" t="s">
        <v>53</v>
      </c>
      <c r="S123" s="32"/>
      <c r="T123" s="35"/>
    </row>
    <row r="124" customFormat="false" ht="103.5" hidden="false" customHeight="true" outlineLevel="0" collapsed="false">
      <c r="A124" s="27" t="s">
        <v>1028</v>
      </c>
      <c r="B124" s="28" t="s">
        <v>710</v>
      </c>
      <c r="C124" s="32" t="s">
        <v>63</v>
      </c>
      <c r="D124" s="28" t="n">
        <v>1</v>
      </c>
      <c r="E124" s="28" t="n">
        <v>3</v>
      </c>
      <c r="F124" s="28" t="n">
        <v>3</v>
      </c>
      <c r="G124" s="30" t="s">
        <v>587</v>
      </c>
      <c r="H124" s="27" t="s">
        <v>588</v>
      </c>
      <c r="I124" s="27" t="s">
        <v>589</v>
      </c>
      <c r="J124" s="31" t="s">
        <v>590</v>
      </c>
      <c r="K124" s="31" t="s">
        <v>1029</v>
      </c>
      <c r="L124" s="27" t="s">
        <v>1030</v>
      </c>
      <c r="M124" s="27" t="s">
        <v>593</v>
      </c>
      <c r="N124" s="27" t="s">
        <v>272</v>
      </c>
      <c r="O124" s="27" t="s">
        <v>594</v>
      </c>
      <c r="P124" s="27" t="s">
        <v>576</v>
      </c>
      <c r="Q124" s="28" t="n">
        <v>2</v>
      </c>
      <c r="R124" s="32" t="s">
        <v>53</v>
      </c>
      <c r="S124" s="32"/>
      <c r="T124" s="35"/>
    </row>
    <row r="125" customFormat="false" ht="103.5" hidden="false" customHeight="true" outlineLevel="0" collapsed="false">
      <c r="A125" s="27" t="s">
        <v>1031</v>
      </c>
      <c r="B125" s="28" t="s">
        <v>710</v>
      </c>
      <c r="C125" s="32" t="s">
        <v>63</v>
      </c>
      <c r="D125" s="28" t="n">
        <v>1</v>
      </c>
      <c r="E125" s="28" t="n">
        <v>4</v>
      </c>
      <c r="F125" s="28" t="n">
        <v>4</v>
      </c>
      <c r="G125" s="30" t="s">
        <v>596</v>
      </c>
      <c r="H125" s="27" t="s">
        <v>1032</v>
      </c>
      <c r="I125" s="27" t="s">
        <v>1033</v>
      </c>
      <c r="J125" s="31" t="s">
        <v>599</v>
      </c>
      <c r="K125" s="31" t="s">
        <v>1034</v>
      </c>
      <c r="L125" s="27" t="s">
        <v>1035</v>
      </c>
      <c r="M125" s="27" t="s">
        <v>602</v>
      </c>
      <c r="N125" s="27" t="s">
        <v>102</v>
      </c>
      <c r="O125" s="27" t="s">
        <v>603</v>
      </c>
      <c r="P125" s="27"/>
      <c r="Q125" s="28" t="n">
        <v>2</v>
      </c>
      <c r="R125" s="32" t="s">
        <v>53</v>
      </c>
      <c r="S125" s="32"/>
      <c r="T125" s="35"/>
    </row>
    <row r="126" customFormat="false" ht="103.5" hidden="false" customHeight="true" outlineLevel="0" collapsed="false">
      <c r="A126" s="27" t="s">
        <v>1036</v>
      </c>
      <c r="B126" s="28" t="s">
        <v>710</v>
      </c>
      <c r="C126" s="32" t="s">
        <v>63</v>
      </c>
      <c r="D126" s="28" t="n">
        <v>2</v>
      </c>
      <c r="E126" s="28" t="n">
        <v>1</v>
      </c>
      <c r="F126" s="28" t="n">
        <v>5</v>
      </c>
      <c r="G126" s="30" t="s">
        <v>1037</v>
      </c>
      <c r="H126" s="27" t="s">
        <v>1038</v>
      </c>
      <c r="I126" s="27" t="s">
        <v>1039</v>
      </c>
      <c r="J126" s="31" t="s">
        <v>608</v>
      </c>
      <c r="K126" s="31" t="s">
        <v>1040</v>
      </c>
      <c r="L126" s="27" t="s">
        <v>1041</v>
      </c>
      <c r="M126" s="27" t="s">
        <v>1042</v>
      </c>
      <c r="N126" s="27" t="s">
        <v>466</v>
      </c>
      <c r="O126" s="27" t="s">
        <v>1043</v>
      </c>
      <c r="P126" s="27" t="s">
        <v>612</v>
      </c>
      <c r="Q126" s="28" t="n">
        <v>2</v>
      </c>
      <c r="R126" s="32" t="s">
        <v>53</v>
      </c>
      <c r="S126" s="32"/>
      <c r="T126" s="35"/>
    </row>
    <row r="127" customFormat="false" ht="103.5" hidden="false" customHeight="true" outlineLevel="0" collapsed="false">
      <c r="A127" s="27" t="s">
        <v>1044</v>
      </c>
      <c r="B127" s="28" t="s">
        <v>710</v>
      </c>
      <c r="C127" s="32" t="s">
        <v>63</v>
      </c>
      <c r="D127" s="28" t="n">
        <v>2</v>
      </c>
      <c r="E127" s="28" t="n">
        <v>2</v>
      </c>
      <c r="F127" s="28" t="n">
        <v>6</v>
      </c>
      <c r="G127" s="30" t="s">
        <v>1045</v>
      </c>
      <c r="H127" s="27" t="s">
        <v>1046</v>
      </c>
      <c r="I127" s="27" t="s">
        <v>1047</v>
      </c>
      <c r="J127" s="31" t="s">
        <v>617</v>
      </c>
      <c r="K127" s="31" t="s">
        <v>1048</v>
      </c>
      <c r="L127" s="27" t="s">
        <v>1049</v>
      </c>
      <c r="M127" s="27" t="s">
        <v>620</v>
      </c>
      <c r="N127" s="27" t="s">
        <v>621</v>
      </c>
      <c r="O127" s="27"/>
      <c r="P127" s="27" t="s">
        <v>622</v>
      </c>
      <c r="Q127" s="28" t="n">
        <v>2</v>
      </c>
      <c r="R127" s="32" t="s">
        <v>53</v>
      </c>
      <c r="S127" s="32"/>
      <c r="T127" s="35"/>
    </row>
    <row r="128" customFormat="false" ht="103.5" hidden="false" customHeight="true" outlineLevel="0" collapsed="false">
      <c r="A128" s="27" t="s">
        <v>1050</v>
      </c>
      <c r="B128" s="28" t="s">
        <v>710</v>
      </c>
      <c r="C128" s="32" t="s">
        <v>63</v>
      </c>
      <c r="D128" s="28" t="n">
        <v>2</v>
      </c>
      <c r="E128" s="28" t="n">
        <v>3</v>
      </c>
      <c r="F128" s="28" t="n">
        <v>7</v>
      </c>
      <c r="G128" s="30" t="s">
        <v>1051</v>
      </c>
      <c r="H128" s="27" t="s">
        <v>1052</v>
      </c>
      <c r="I128" s="27" t="s">
        <v>1053</v>
      </c>
      <c r="J128" s="31" t="s">
        <v>627</v>
      </c>
      <c r="K128" s="31" t="s">
        <v>1054</v>
      </c>
      <c r="L128" s="27" t="s">
        <v>1055</v>
      </c>
      <c r="M128" s="27" t="s">
        <v>602</v>
      </c>
      <c r="N128" s="27" t="s">
        <v>190</v>
      </c>
      <c r="O128" s="27" t="s">
        <v>1056</v>
      </c>
      <c r="P128" s="27" t="s">
        <v>612</v>
      </c>
      <c r="Q128" s="28" t="n">
        <v>2</v>
      </c>
      <c r="R128" s="32" t="s">
        <v>53</v>
      </c>
      <c r="S128" s="32"/>
      <c r="T128" s="35"/>
    </row>
    <row r="129" customFormat="false" ht="103.5" hidden="false" customHeight="true" outlineLevel="0" collapsed="false">
      <c r="A129" s="27" t="s">
        <v>1057</v>
      </c>
      <c r="B129" s="28" t="s">
        <v>710</v>
      </c>
      <c r="C129" s="32" t="s">
        <v>63</v>
      </c>
      <c r="D129" s="28" t="n">
        <v>2</v>
      </c>
      <c r="E129" s="28" t="n">
        <v>4</v>
      </c>
      <c r="F129" s="28" t="n">
        <v>8</v>
      </c>
      <c r="G129" s="30" t="s">
        <v>632</v>
      </c>
      <c r="H129" s="27" t="s">
        <v>633</v>
      </c>
      <c r="I129" s="27" t="s">
        <v>634</v>
      </c>
      <c r="J129" s="31" t="s">
        <v>635</v>
      </c>
      <c r="K129" s="31" t="s">
        <v>636</v>
      </c>
      <c r="L129" s="27" t="s">
        <v>637</v>
      </c>
      <c r="M129" s="27" t="s">
        <v>602</v>
      </c>
      <c r="N129" s="27" t="s">
        <v>150</v>
      </c>
      <c r="O129" s="27" t="s">
        <v>638</v>
      </c>
      <c r="P129" s="27" t="s">
        <v>612</v>
      </c>
      <c r="Q129" s="28" t="n">
        <v>2</v>
      </c>
      <c r="R129" s="32" t="s">
        <v>53</v>
      </c>
      <c r="S129" s="32"/>
      <c r="T129" s="35"/>
    </row>
    <row r="130" customFormat="false" ht="103.5" hidden="false" customHeight="true" outlineLevel="0" collapsed="false">
      <c r="A130" s="27" t="s">
        <v>1058</v>
      </c>
      <c r="B130" s="28" t="s">
        <v>710</v>
      </c>
      <c r="C130" s="32" t="s">
        <v>63</v>
      </c>
      <c r="D130" s="28" t="n">
        <v>3</v>
      </c>
      <c r="E130" s="28" t="n">
        <v>1</v>
      </c>
      <c r="F130" s="28" t="n">
        <v>9</v>
      </c>
      <c r="G130" s="30" t="s">
        <v>1059</v>
      </c>
      <c r="H130" s="27" t="s">
        <v>641</v>
      </c>
      <c r="I130" s="27" t="s">
        <v>642</v>
      </c>
      <c r="J130" s="31" t="s">
        <v>643</v>
      </c>
      <c r="K130" s="31" t="s">
        <v>1060</v>
      </c>
      <c r="L130" s="27" t="s">
        <v>1061</v>
      </c>
      <c r="M130" s="27" t="s">
        <v>646</v>
      </c>
      <c r="N130" s="27" t="s">
        <v>466</v>
      </c>
      <c r="O130" s="27" t="s">
        <v>1062</v>
      </c>
      <c r="P130" s="27" t="s">
        <v>648</v>
      </c>
      <c r="Q130" s="28" t="n">
        <v>3</v>
      </c>
      <c r="R130" s="32" t="s">
        <v>53</v>
      </c>
      <c r="S130" s="32"/>
      <c r="T130" s="35"/>
    </row>
    <row r="131" customFormat="false" ht="103.5" hidden="false" customHeight="true" outlineLevel="0" collapsed="false">
      <c r="A131" s="27" t="s">
        <v>1063</v>
      </c>
      <c r="B131" s="28" t="s">
        <v>710</v>
      </c>
      <c r="C131" s="32" t="s">
        <v>63</v>
      </c>
      <c r="D131" s="28" t="n">
        <v>3</v>
      </c>
      <c r="E131" s="28" t="n">
        <v>2</v>
      </c>
      <c r="F131" s="28" t="n">
        <v>10</v>
      </c>
      <c r="G131" s="30" t="s">
        <v>1064</v>
      </c>
      <c r="H131" s="27" t="s">
        <v>651</v>
      </c>
      <c r="I131" s="27" t="s">
        <v>652</v>
      </c>
      <c r="J131" s="31" t="s">
        <v>1065</v>
      </c>
      <c r="K131" s="31" t="s">
        <v>1066</v>
      </c>
      <c r="L131" s="27" t="s">
        <v>1067</v>
      </c>
      <c r="M131" s="27" t="s">
        <v>646</v>
      </c>
      <c r="N131" s="27" t="s">
        <v>466</v>
      </c>
      <c r="O131" s="27" t="s">
        <v>1068</v>
      </c>
      <c r="P131" s="27" t="s">
        <v>648</v>
      </c>
      <c r="Q131" s="28" t="n">
        <v>3</v>
      </c>
      <c r="R131" s="32" t="s">
        <v>53</v>
      </c>
      <c r="S131" s="32"/>
      <c r="T131" s="35"/>
    </row>
    <row r="132" customFormat="false" ht="103.5" hidden="false" customHeight="true" outlineLevel="0" collapsed="false">
      <c r="A132" s="27" t="s">
        <v>1069</v>
      </c>
      <c r="B132" s="28" t="s">
        <v>710</v>
      </c>
      <c r="C132" s="32" t="s">
        <v>63</v>
      </c>
      <c r="D132" s="28" t="n">
        <v>3</v>
      </c>
      <c r="E132" s="28" t="n">
        <v>3</v>
      </c>
      <c r="F132" s="28" t="n">
        <v>11</v>
      </c>
      <c r="G132" s="30" t="s">
        <v>1070</v>
      </c>
      <c r="H132" s="27" t="s">
        <v>660</v>
      </c>
      <c r="I132" s="27" t="s">
        <v>661</v>
      </c>
      <c r="J132" s="31" t="s">
        <v>1071</v>
      </c>
      <c r="K132" s="31" t="s">
        <v>1072</v>
      </c>
      <c r="L132" s="27" t="s">
        <v>1073</v>
      </c>
      <c r="M132" s="27" t="s">
        <v>646</v>
      </c>
      <c r="N132" s="27" t="s">
        <v>666</v>
      </c>
      <c r="O132" s="27"/>
      <c r="P132" s="27" t="s">
        <v>648</v>
      </c>
      <c r="Q132" s="28" t="n">
        <v>3</v>
      </c>
      <c r="R132" s="32" t="s">
        <v>53</v>
      </c>
      <c r="S132" s="32"/>
      <c r="T132" s="35"/>
    </row>
    <row r="133" customFormat="false" ht="103.5" hidden="false" customHeight="true" outlineLevel="0" collapsed="false">
      <c r="A133" s="27" t="s">
        <v>1074</v>
      </c>
      <c r="B133" s="28" t="s">
        <v>710</v>
      </c>
      <c r="C133" s="32" t="s">
        <v>63</v>
      </c>
      <c r="D133" s="28" t="n">
        <v>3</v>
      </c>
      <c r="E133" s="28" t="n">
        <v>4</v>
      </c>
      <c r="F133" s="28" t="n">
        <v>12</v>
      </c>
      <c r="G133" s="30" t="s">
        <v>1075</v>
      </c>
      <c r="H133" s="27" t="s">
        <v>1076</v>
      </c>
      <c r="I133" s="27" t="s">
        <v>1077</v>
      </c>
      <c r="J133" s="31" t="s">
        <v>672</v>
      </c>
      <c r="K133" s="31" t="s">
        <v>1078</v>
      </c>
      <c r="L133" s="27" t="s">
        <v>1079</v>
      </c>
      <c r="M133" s="27" t="s">
        <v>646</v>
      </c>
      <c r="N133" s="27" t="s">
        <v>208</v>
      </c>
      <c r="O133" s="27" t="s">
        <v>1080</v>
      </c>
      <c r="P133" s="27" t="s">
        <v>648</v>
      </c>
      <c r="Q133" s="28" t="n">
        <v>3</v>
      </c>
      <c r="R133" s="32" t="s">
        <v>53</v>
      </c>
      <c r="S133" s="32"/>
      <c r="T133" s="35"/>
    </row>
    <row r="134" customFormat="false" ht="103.5" hidden="false" customHeight="true" outlineLevel="0" collapsed="false">
      <c r="A134" s="27" t="s">
        <v>1081</v>
      </c>
      <c r="B134" s="28" t="s">
        <v>710</v>
      </c>
      <c r="C134" s="32" t="s">
        <v>63</v>
      </c>
      <c r="D134" s="28" t="n">
        <v>4</v>
      </c>
      <c r="E134" s="28" t="n">
        <v>1</v>
      </c>
      <c r="F134" s="28" t="n">
        <v>13</v>
      </c>
      <c r="G134" s="30" t="s">
        <v>1082</v>
      </c>
      <c r="H134" s="27" t="s">
        <v>1083</v>
      </c>
      <c r="I134" s="27" t="s">
        <v>1084</v>
      </c>
      <c r="J134" s="31" t="s">
        <v>680</v>
      </c>
      <c r="K134" s="31" t="s">
        <v>1085</v>
      </c>
      <c r="L134" s="27" t="s">
        <v>1086</v>
      </c>
      <c r="M134" s="27" t="s">
        <v>646</v>
      </c>
      <c r="N134" s="27" t="s">
        <v>675</v>
      </c>
      <c r="O134" s="27" t="s">
        <v>1087</v>
      </c>
      <c r="P134" s="27" t="s">
        <v>648</v>
      </c>
      <c r="Q134" s="28" t="n">
        <v>3</v>
      </c>
      <c r="R134" s="32" t="s">
        <v>53</v>
      </c>
      <c r="S134" s="32"/>
      <c r="T134" s="35"/>
    </row>
    <row r="135" customFormat="false" ht="103.5" hidden="false" customHeight="true" outlineLevel="0" collapsed="false">
      <c r="A135" s="27" t="s">
        <v>1088</v>
      </c>
      <c r="B135" s="28" t="s">
        <v>710</v>
      </c>
      <c r="C135" s="32" t="s">
        <v>63</v>
      </c>
      <c r="D135" s="28" t="n">
        <v>4</v>
      </c>
      <c r="E135" s="28" t="n">
        <v>2</v>
      </c>
      <c r="F135" s="28" t="n">
        <v>14</v>
      </c>
      <c r="G135" s="30" t="s">
        <v>1089</v>
      </c>
      <c r="H135" s="27" t="s">
        <v>686</v>
      </c>
      <c r="I135" s="27" t="s">
        <v>687</v>
      </c>
      <c r="J135" s="31" t="s">
        <v>688</v>
      </c>
      <c r="K135" s="31" t="s">
        <v>1090</v>
      </c>
      <c r="L135" s="27" t="s">
        <v>1091</v>
      </c>
      <c r="M135" s="27" t="s">
        <v>1092</v>
      </c>
      <c r="N135" s="27" t="s">
        <v>466</v>
      </c>
      <c r="O135" s="27" t="s">
        <v>1093</v>
      </c>
      <c r="P135" s="27" t="s">
        <v>648</v>
      </c>
      <c r="Q135" s="28" t="n">
        <v>3</v>
      </c>
      <c r="R135" s="32" t="s">
        <v>53</v>
      </c>
      <c r="S135" s="32"/>
      <c r="T135" s="35"/>
    </row>
    <row r="136" customFormat="false" ht="103.5" hidden="false" customHeight="true" outlineLevel="0" collapsed="false">
      <c r="A136" s="27" t="s">
        <v>1094</v>
      </c>
      <c r="B136" s="28" t="s">
        <v>710</v>
      </c>
      <c r="C136" s="32" t="s">
        <v>63</v>
      </c>
      <c r="D136" s="28" t="n">
        <v>4</v>
      </c>
      <c r="E136" s="28" t="n">
        <v>3</v>
      </c>
      <c r="F136" s="28" t="n">
        <v>15</v>
      </c>
      <c r="G136" s="30" t="s">
        <v>1095</v>
      </c>
      <c r="H136" s="27" t="s">
        <v>1096</v>
      </c>
      <c r="I136" s="27" t="s">
        <v>1097</v>
      </c>
      <c r="J136" s="31" t="s">
        <v>697</v>
      </c>
      <c r="K136" s="31" t="s">
        <v>1098</v>
      </c>
      <c r="L136" s="27" t="s">
        <v>1099</v>
      </c>
      <c r="M136" s="27" t="s">
        <v>646</v>
      </c>
      <c r="N136" s="27" t="s">
        <v>190</v>
      </c>
      <c r="O136" s="27" t="s">
        <v>1100</v>
      </c>
      <c r="P136" s="27" t="s">
        <v>648</v>
      </c>
      <c r="Q136" s="28" t="n">
        <v>3</v>
      </c>
      <c r="R136" s="32" t="s">
        <v>53</v>
      </c>
      <c r="S136" s="32"/>
      <c r="T136" s="35"/>
    </row>
    <row r="137" customFormat="false" ht="103.5" hidden="false" customHeight="true" outlineLevel="0" collapsed="false">
      <c r="A137" s="27" t="s">
        <v>1101</v>
      </c>
      <c r="B137" s="28" t="s">
        <v>710</v>
      </c>
      <c r="C137" s="32" t="s">
        <v>63</v>
      </c>
      <c r="D137" s="28" t="n">
        <v>4</v>
      </c>
      <c r="E137" s="28" t="n">
        <v>4</v>
      </c>
      <c r="F137" s="28" t="n">
        <v>16</v>
      </c>
      <c r="G137" s="30" t="s">
        <v>1102</v>
      </c>
      <c r="H137" s="27" t="s">
        <v>1103</v>
      </c>
      <c r="I137" s="27" t="s">
        <v>1104</v>
      </c>
      <c r="J137" s="31" t="s">
        <v>705</v>
      </c>
      <c r="K137" s="31" t="s">
        <v>1105</v>
      </c>
      <c r="L137" s="27" t="s">
        <v>1106</v>
      </c>
      <c r="M137" s="27" t="s">
        <v>646</v>
      </c>
      <c r="N137" s="27" t="s">
        <v>208</v>
      </c>
      <c r="O137" s="27" t="s">
        <v>1107</v>
      </c>
      <c r="P137" s="27" t="s">
        <v>648</v>
      </c>
      <c r="Q137" s="28" t="n">
        <v>3</v>
      </c>
      <c r="R137" s="32" t="s">
        <v>53</v>
      </c>
      <c r="S137" s="32"/>
      <c r="T137" s="35"/>
    </row>
    <row r="138" customFormat="false" ht="129.75" hidden="false" customHeight="true" outlineLevel="0" collapsed="false">
      <c r="A138" s="27" t="s">
        <v>1108</v>
      </c>
      <c r="B138" s="28" t="s">
        <v>1109</v>
      </c>
      <c r="C138" s="29" t="s">
        <v>60</v>
      </c>
      <c r="D138" s="28" t="n">
        <v>1</v>
      </c>
      <c r="E138" s="28" t="n">
        <v>1</v>
      </c>
      <c r="F138" s="28" t="n">
        <v>1</v>
      </c>
      <c r="G138" s="30" t="s">
        <v>1110</v>
      </c>
      <c r="H138" s="27" t="s">
        <v>96</v>
      </c>
      <c r="I138" s="27" t="s">
        <v>97</v>
      </c>
      <c r="J138" s="31" t="s">
        <v>1111</v>
      </c>
      <c r="K138" s="31" t="s">
        <v>1112</v>
      </c>
      <c r="L138" s="27" t="s">
        <v>100</v>
      </c>
      <c r="M138" s="27" t="s">
        <v>101</v>
      </c>
      <c r="N138" s="27" t="s">
        <v>102</v>
      </c>
      <c r="O138" s="27" t="s">
        <v>103</v>
      </c>
      <c r="P138" s="27" t="s">
        <v>104</v>
      </c>
      <c r="Q138" s="28" t="n">
        <v>1</v>
      </c>
      <c r="R138" s="32" t="s">
        <v>53</v>
      </c>
      <c r="S138" s="32"/>
      <c r="T138" s="35"/>
    </row>
    <row r="139" customFormat="false" ht="103.5" hidden="false" customHeight="true" outlineLevel="0" collapsed="false">
      <c r="A139" s="27" t="s">
        <v>1113</v>
      </c>
      <c r="B139" s="28" t="s">
        <v>1109</v>
      </c>
      <c r="C139" s="29" t="s">
        <v>60</v>
      </c>
      <c r="D139" s="28" t="n">
        <v>1</v>
      </c>
      <c r="E139" s="28" t="n">
        <v>2</v>
      </c>
      <c r="F139" s="28" t="n">
        <v>2</v>
      </c>
      <c r="G139" s="30" t="s">
        <v>106</v>
      </c>
      <c r="H139" s="27" t="s">
        <v>107</v>
      </c>
      <c r="I139" s="27" t="s">
        <v>108</v>
      </c>
      <c r="J139" s="31" t="s">
        <v>109</v>
      </c>
      <c r="K139" s="31" t="s">
        <v>110</v>
      </c>
      <c r="L139" s="27" t="s">
        <v>111</v>
      </c>
      <c r="M139" s="27" t="s">
        <v>101</v>
      </c>
      <c r="N139" s="27" t="s">
        <v>112</v>
      </c>
      <c r="O139" s="27" t="s">
        <v>113</v>
      </c>
      <c r="P139" s="27" t="s">
        <v>104</v>
      </c>
      <c r="Q139" s="28" t="n">
        <v>1</v>
      </c>
      <c r="R139" s="32" t="s">
        <v>53</v>
      </c>
      <c r="S139" s="32"/>
      <c r="T139" s="35"/>
    </row>
    <row r="140" customFormat="false" ht="103.5" hidden="false" customHeight="true" outlineLevel="0" collapsed="false">
      <c r="A140" s="27" t="s">
        <v>1114</v>
      </c>
      <c r="B140" s="28" t="s">
        <v>1109</v>
      </c>
      <c r="C140" s="29" t="s">
        <v>60</v>
      </c>
      <c r="D140" s="28" t="n">
        <v>1</v>
      </c>
      <c r="E140" s="28" t="n">
        <v>3</v>
      </c>
      <c r="F140" s="28" t="n">
        <v>3</v>
      </c>
      <c r="G140" s="30" t="s">
        <v>1115</v>
      </c>
      <c r="H140" s="27" t="s">
        <v>1116</v>
      </c>
      <c r="I140" s="27" t="s">
        <v>1117</v>
      </c>
      <c r="J140" s="31" t="s">
        <v>716</v>
      </c>
      <c r="K140" s="31" t="s">
        <v>1118</v>
      </c>
      <c r="L140" s="27" t="s">
        <v>1119</v>
      </c>
      <c r="M140" s="27" t="s">
        <v>121</v>
      </c>
      <c r="N140" s="27" t="s">
        <v>122</v>
      </c>
      <c r="O140" s="27" t="s">
        <v>1120</v>
      </c>
      <c r="P140" s="27" t="s">
        <v>104</v>
      </c>
      <c r="Q140" s="28" t="n">
        <v>1</v>
      </c>
      <c r="R140" s="32" t="s">
        <v>53</v>
      </c>
      <c r="S140" s="32"/>
      <c r="T140" s="35"/>
    </row>
    <row r="141" customFormat="false" ht="103.5" hidden="false" customHeight="true" outlineLevel="0" collapsed="false">
      <c r="A141" s="27" t="s">
        <v>1121</v>
      </c>
      <c r="B141" s="28" t="s">
        <v>1109</v>
      </c>
      <c r="C141" s="29" t="s">
        <v>60</v>
      </c>
      <c r="D141" s="28" t="n">
        <v>1</v>
      </c>
      <c r="E141" s="28" t="n">
        <v>4</v>
      </c>
      <c r="F141" s="28" t="n">
        <v>4</v>
      </c>
      <c r="G141" s="30" t="s">
        <v>1122</v>
      </c>
      <c r="H141" s="27" t="s">
        <v>721</v>
      </c>
      <c r="I141" s="27" t="s">
        <v>722</v>
      </c>
      <c r="J141" s="31" t="s">
        <v>128</v>
      </c>
      <c r="K141" s="31" t="s">
        <v>1123</v>
      </c>
      <c r="L141" s="27" t="s">
        <v>1124</v>
      </c>
      <c r="M141" s="27" t="s">
        <v>101</v>
      </c>
      <c r="N141" s="27" t="s">
        <v>291</v>
      </c>
      <c r="O141" s="27" t="s">
        <v>1125</v>
      </c>
      <c r="P141" s="27" t="s">
        <v>104</v>
      </c>
      <c r="Q141" s="28" t="n">
        <v>1</v>
      </c>
      <c r="R141" s="32" t="s">
        <v>53</v>
      </c>
      <c r="S141" s="32"/>
      <c r="T141" s="35"/>
    </row>
    <row r="142" customFormat="false" ht="103.5" hidden="false" customHeight="true" outlineLevel="0" collapsed="false">
      <c r="A142" s="27" t="s">
        <v>1126</v>
      </c>
      <c r="B142" s="28" t="s">
        <v>1109</v>
      </c>
      <c r="C142" s="29" t="s">
        <v>60</v>
      </c>
      <c r="D142" s="28" t="n">
        <v>2</v>
      </c>
      <c r="E142" s="28" t="n">
        <v>1</v>
      </c>
      <c r="F142" s="28" t="n">
        <v>5</v>
      </c>
      <c r="G142" s="30" t="s">
        <v>1127</v>
      </c>
      <c r="H142" s="27" t="s">
        <v>1128</v>
      </c>
      <c r="I142" s="27" t="s">
        <v>1129</v>
      </c>
      <c r="J142" s="31" t="s">
        <v>137</v>
      </c>
      <c r="K142" s="31" t="s">
        <v>1130</v>
      </c>
      <c r="L142" s="27" t="s">
        <v>1131</v>
      </c>
      <c r="M142" s="27" t="s">
        <v>1132</v>
      </c>
      <c r="N142" s="27" t="s">
        <v>732</v>
      </c>
      <c r="O142" s="27" t="s">
        <v>449</v>
      </c>
      <c r="P142" s="27" t="s">
        <v>142</v>
      </c>
      <c r="Q142" s="28" t="n">
        <v>1</v>
      </c>
      <c r="R142" s="32" t="s">
        <v>53</v>
      </c>
      <c r="S142" s="32"/>
      <c r="T142" s="35"/>
    </row>
    <row r="143" customFormat="false" ht="103.5" hidden="false" customHeight="true" outlineLevel="0" collapsed="false">
      <c r="A143" s="27" t="s">
        <v>1133</v>
      </c>
      <c r="B143" s="28" t="s">
        <v>1109</v>
      </c>
      <c r="C143" s="29" t="s">
        <v>60</v>
      </c>
      <c r="D143" s="28" t="n">
        <v>2</v>
      </c>
      <c r="E143" s="28" t="n">
        <v>2</v>
      </c>
      <c r="F143" s="28" t="n">
        <v>6</v>
      </c>
      <c r="G143" s="30" t="s">
        <v>735</v>
      </c>
      <c r="H143" s="27" t="s">
        <v>1134</v>
      </c>
      <c r="I143" s="27" t="s">
        <v>1135</v>
      </c>
      <c r="J143" s="31" t="s">
        <v>147</v>
      </c>
      <c r="K143" s="31" t="s">
        <v>1136</v>
      </c>
      <c r="L143" s="27" t="s">
        <v>1137</v>
      </c>
      <c r="M143" s="27" t="s">
        <v>121</v>
      </c>
      <c r="N143" s="27" t="s">
        <v>122</v>
      </c>
      <c r="O143" s="27" t="s">
        <v>477</v>
      </c>
      <c r="P143" s="27" t="s">
        <v>152</v>
      </c>
      <c r="Q143" s="28" t="n">
        <v>1</v>
      </c>
      <c r="R143" s="32" t="s">
        <v>53</v>
      </c>
      <c r="S143" s="32"/>
      <c r="T143" s="35"/>
    </row>
    <row r="144" customFormat="false" ht="103.5" hidden="false" customHeight="true" outlineLevel="0" collapsed="false">
      <c r="A144" s="27" t="s">
        <v>1138</v>
      </c>
      <c r="B144" s="28" t="s">
        <v>1109</v>
      </c>
      <c r="C144" s="29" t="s">
        <v>60</v>
      </c>
      <c r="D144" s="28" t="n">
        <v>2</v>
      </c>
      <c r="E144" s="28" t="n">
        <v>3</v>
      </c>
      <c r="F144" s="28" t="n">
        <v>7</v>
      </c>
      <c r="G144" s="30" t="s">
        <v>1139</v>
      </c>
      <c r="H144" s="27" t="s">
        <v>743</v>
      </c>
      <c r="I144" s="27" t="s">
        <v>744</v>
      </c>
      <c r="J144" s="31" t="s">
        <v>158</v>
      </c>
      <c r="K144" s="31" t="s">
        <v>1140</v>
      </c>
      <c r="L144" s="27" t="s">
        <v>1141</v>
      </c>
      <c r="M144" s="27" t="s">
        <v>101</v>
      </c>
      <c r="N144" s="27" t="s">
        <v>161</v>
      </c>
      <c r="O144" s="27"/>
      <c r="P144" s="27" t="s">
        <v>104</v>
      </c>
      <c r="Q144" s="28" t="n">
        <v>1</v>
      </c>
      <c r="R144" s="32" t="s">
        <v>53</v>
      </c>
      <c r="S144" s="32"/>
      <c r="T144" s="35"/>
    </row>
    <row r="145" customFormat="false" ht="103.5" hidden="false" customHeight="true" outlineLevel="0" collapsed="false">
      <c r="A145" s="27" t="s">
        <v>1142</v>
      </c>
      <c r="B145" s="28" t="s">
        <v>1109</v>
      </c>
      <c r="C145" s="29" t="s">
        <v>60</v>
      </c>
      <c r="D145" s="28" t="n">
        <v>2</v>
      </c>
      <c r="E145" s="28" t="n">
        <v>4</v>
      </c>
      <c r="F145" s="28" t="n">
        <v>8</v>
      </c>
      <c r="G145" s="30" t="s">
        <v>748</v>
      </c>
      <c r="H145" s="27" t="s">
        <v>164</v>
      </c>
      <c r="I145" s="27" t="s">
        <v>165</v>
      </c>
      <c r="J145" s="31" t="s">
        <v>166</v>
      </c>
      <c r="K145" s="31" t="s">
        <v>1143</v>
      </c>
      <c r="L145" s="27" t="s">
        <v>1144</v>
      </c>
      <c r="M145" s="27" t="s">
        <v>169</v>
      </c>
      <c r="N145" s="27" t="s">
        <v>732</v>
      </c>
      <c r="O145" s="27" t="s">
        <v>301</v>
      </c>
      <c r="P145" s="27" t="s">
        <v>152</v>
      </c>
      <c r="Q145" s="28" t="n">
        <v>1</v>
      </c>
      <c r="R145" s="32" t="s">
        <v>53</v>
      </c>
      <c r="S145" s="32"/>
      <c r="T145" s="35"/>
    </row>
    <row r="146" customFormat="false" ht="103.5" hidden="false" customHeight="true" outlineLevel="0" collapsed="false">
      <c r="A146" s="27" t="s">
        <v>1145</v>
      </c>
      <c r="B146" s="28" t="s">
        <v>1109</v>
      </c>
      <c r="C146" s="29" t="s">
        <v>60</v>
      </c>
      <c r="D146" s="28" t="n">
        <v>3</v>
      </c>
      <c r="E146" s="28" t="n">
        <v>1</v>
      </c>
      <c r="F146" s="28" t="n">
        <v>9</v>
      </c>
      <c r="G146" s="30" t="s">
        <v>1146</v>
      </c>
      <c r="H146" s="27" t="s">
        <v>1147</v>
      </c>
      <c r="I146" s="27" t="s">
        <v>1148</v>
      </c>
      <c r="J146" s="31" t="s">
        <v>756</v>
      </c>
      <c r="K146" s="31" t="s">
        <v>1149</v>
      </c>
      <c r="L146" s="27" t="s">
        <v>1150</v>
      </c>
      <c r="M146" s="27" t="s">
        <v>101</v>
      </c>
      <c r="N146" s="27" t="s">
        <v>190</v>
      </c>
      <c r="O146" s="27" t="s">
        <v>1151</v>
      </c>
      <c r="P146" s="27" t="s">
        <v>104</v>
      </c>
      <c r="Q146" s="28" t="n">
        <v>3</v>
      </c>
      <c r="R146" s="32" t="s">
        <v>53</v>
      </c>
      <c r="S146" s="32"/>
      <c r="T146" s="35"/>
    </row>
    <row r="147" customFormat="false" ht="103.5" hidden="false" customHeight="true" outlineLevel="0" collapsed="false">
      <c r="A147" s="27" t="s">
        <v>1152</v>
      </c>
      <c r="B147" s="28" t="s">
        <v>1109</v>
      </c>
      <c r="C147" s="29" t="s">
        <v>60</v>
      </c>
      <c r="D147" s="28" t="n">
        <v>3</v>
      </c>
      <c r="E147" s="28" t="n">
        <v>2</v>
      </c>
      <c r="F147" s="28" t="n">
        <v>10</v>
      </c>
      <c r="G147" s="30" t="s">
        <v>1153</v>
      </c>
      <c r="H147" s="27" t="s">
        <v>1154</v>
      </c>
      <c r="I147" s="27" t="s">
        <v>1155</v>
      </c>
      <c r="J147" s="31" t="s">
        <v>1156</v>
      </c>
      <c r="K147" s="31" t="s">
        <v>1157</v>
      </c>
      <c r="L147" s="27" t="s">
        <v>1158</v>
      </c>
      <c r="M147" s="27" t="s">
        <v>101</v>
      </c>
      <c r="N147" s="27" t="s">
        <v>550</v>
      </c>
      <c r="O147" s="27" t="s">
        <v>1159</v>
      </c>
      <c r="P147" s="27" t="s">
        <v>181</v>
      </c>
      <c r="Q147" s="28" t="n">
        <v>3</v>
      </c>
      <c r="R147" s="32" t="s">
        <v>53</v>
      </c>
      <c r="S147" s="32"/>
      <c r="T147" s="35"/>
    </row>
    <row r="148" customFormat="false" ht="103.5" hidden="false" customHeight="true" outlineLevel="0" collapsed="false">
      <c r="A148" s="27" t="s">
        <v>1160</v>
      </c>
      <c r="B148" s="28" t="s">
        <v>1109</v>
      </c>
      <c r="C148" s="29" t="s">
        <v>60</v>
      </c>
      <c r="D148" s="28" t="n">
        <v>3</v>
      </c>
      <c r="E148" s="28" t="n">
        <v>3</v>
      </c>
      <c r="F148" s="28" t="n">
        <v>11</v>
      </c>
      <c r="G148" s="30" t="s">
        <v>1161</v>
      </c>
      <c r="H148" s="27" t="s">
        <v>1162</v>
      </c>
      <c r="I148" s="27" t="s">
        <v>1163</v>
      </c>
      <c r="J148" s="31" t="s">
        <v>196</v>
      </c>
      <c r="K148" s="31" t="s">
        <v>1164</v>
      </c>
      <c r="L148" s="27" t="s">
        <v>1165</v>
      </c>
      <c r="M148" s="27" t="s">
        <v>101</v>
      </c>
      <c r="N148" s="27" t="s">
        <v>208</v>
      </c>
      <c r="O148" s="27" t="s">
        <v>1166</v>
      </c>
      <c r="P148" s="27" t="s">
        <v>152</v>
      </c>
      <c r="Q148" s="28" t="n">
        <v>3</v>
      </c>
      <c r="R148" s="32" t="s">
        <v>53</v>
      </c>
      <c r="S148" s="32"/>
      <c r="T148" s="35"/>
    </row>
    <row r="149" customFormat="false" ht="103.5" hidden="false" customHeight="true" outlineLevel="0" collapsed="false">
      <c r="A149" s="27" t="s">
        <v>1167</v>
      </c>
      <c r="B149" s="28" t="s">
        <v>1109</v>
      </c>
      <c r="C149" s="29" t="s">
        <v>60</v>
      </c>
      <c r="D149" s="28" t="n">
        <v>3</v>
      </c>
      <c r="E149" s="28" t="n">
        <v>4</v>
      </c>
      <c r="F149" s="28" t="n">
        <v>12</v>
      </c>
      <c r="G149" s="30" t="s">
        <v>1168</v>
      </c>
      <c r="H149" s="27" t="s">
        <v>1169</v>
      </c>
      <c r="I149" s="27" t="s">
        <v>1170</v>
      </c>
      <c r="J149" s="31" t="s">
        <v>1171</v>
      </c>
      <c r="K149" s="31" t="s">
        <v>1172</v>
      </c>
      <c r="L149" s="27" t="s">
        <v>1173</v>
      </c>
      <c r="M149" s="27" t="s">
        <v>1174</v>
      </c>
      <c r="N149" s="27" t="s">
        <v>550</v>
      </c>
      <c r="O149" s="27" t="s">
        <v>1175</v>
      </c>
      <c r="P149" s="27" t="s">
        <v>142</v>
      </c>
      <c r="Q149" s="28" t="n">
        <v>3</v>
      </c>
      <c r="R149" s="32" t="s">
        <v>53</v>
      </c>
      <c r="S149" s="32"/>
      <c r="T149" s="35"/>
    </row>
    <row r="150" customFormat="false" ht="103.5" hidden="false" customHeight="true" outlineLevel="0" collapsed="false">
      <c r="A150" s="27" t="s">
        <v>1176</v>
      </c>
      <c r="B150" s="28" t="s">
        <v>1109</v>
      </c>
      <c r="C150" s="29" t="s">
        <v>60</v>
      </c>
      <c r="D150" s="28" t="n">
        <v>4</v>
      </c>
      <c r="E150" s="28" t="n">
        <v>1</v>
      </c>
      <c r="F150" s="28" t="n">
        <v>13</v>
      </c>
      <c r="G150" s="30" t="s">
        <v>1177</v>
      </c>
      <c r="H150" s="27" t="s">
        <v>1178</v>
      </c>
      <c r="I150" s="27" t="s">
        <v>1179</v>
      </c>
      <c r="J150" s="31" t="s">
        <v>1180</v>
      </c>
      <c r="K150" s="31" t="s">
        <v>1181</v>
      </c>
      <c r="L150" s="27" t="s">
        <v>1182</v>
      </c>
      <c r="M150" s="27" t="s">
        <v>101</v>
      </c>
      <c r="N150" s="27" t="s">
        <v>786</v>
      </c>
      <c r="O150" s="27" t="s">
        <v>1183</v>
      </c>
      <c r="P150" s="27" t="s">
        <v>181</v>
      </c>
      <c r="Q150" s="28" t="n">
        <v>3</v>
      </c>
      <c r="R150" s="32" t="s">
        <v>53</v>
      </c>
      <c r="S150" s="32"/>
      <c r="T150" s="35"/>
    </row>
    <row r="151" customFormat="false" ht="103.5" hidden="false" customHeight="true" outlineLevel="0" collapsed="false">
      <c r="A151" s="27" t="s">
        <v>1184</v>
      </c>
      <c r="B151" s="28" t="s">
        <v>1109</v>
      </c>
      <c r="C151" s="29" t="s">
        <v>60</v>
      </c>
      <c r="D151" s="28" t="n">
        <v>4</v>
      </c>
      <c r="E151" s="28" t="n">
        <v>2</v>
      </c>
      <c r="F151" s="28" t="n">
        <v>14</v>
      </c>
      <c r="G151" s="30" t="s">
        <v>1185</v>
      </c>
      <c r="H151" s="27" t="s">
        <v>1186</v>
      </c>
      <c r="I151" s="27" t="s">
        <v>1187</v>
      </c>
      <c r="J151" s="31" t="s">
        <v>223</v>
      </c>
      <c r="K151" s="31" t="s">
        <v>1188</v>
      </c>
      <c r="L151" s="27" t="s">
        <v>1189</v>
      </c>
      <c r="M151" s="27" t="s">
        <v>101</v>
      </c>
      <c r="N151" s="27" t="s">
        <v>795</v>
      </c>
      <c r="O151" s="27"/>
      <c r="P151" s="27" t="s">
        <v>142</v>
      </c>
      <c r="Q151" s="28" t="n">
        <v>3</v>
      </c>
      <c r="R151" s="32" t="s">
        <v>53</v>
      </c>
      <c r="S151" s="32"/>
      <c r="T151" s="35"/>
    </row>
    <row r="152" customFormat="false" ht="103.5" hidden="false" customHeight="true" outlineLevel="0" collapsed="false">
      <c r="A152" s="27" t="s">
        <v>1190</v>
      </c>
      <c r="B152" s="28" t="s">
        <v>1109</v>
      </c>
      <c r="C152" s="29" t="s">
        <v>60</v>
      </c>
      <c r="D152" s="28" t="n">
        <v>4</v>
      </c>
      <c r="E152" s="28" t="n">
        <v>3</v>
      </c>
      <c r="F152" s="28" t="n">
        <v>15</v>
      </c>
      <c r="G152" s="30" t="s">
        <v>1191</v>
      </c>
      <c r="H152" s="27" t="s">
        <v>798</v>
      </c>
      <c r="I152" s="27" t="s">
        <v>799</v>
      </c>
      <c r="J152" s="31" t="s">
        <v>1192</v>
      </c>
      <c r="K152" s="31" t="s">
        <v>1193</v>
      </c>
      <c r="L152" s="27" t="s">
        <v>1194</v>
      </c>
      <c r="M152" s="27" t="s">
        <v>1195</v>
      </c>
      <c r="N152" s="27" t="s">
        <v>235</v>
      </c>
      <c r="O152" s="27" t="s">
        <v>236</v>
      </c>
      <c r="P152" s="27" t="s">
        <v>181</v>
      </c>
      <c r="Q152" s="28" t="n">
        <v>3</v>
      </c>
      <c r="R152" s="32" t="s">
        <v>53</v>
      </c>
      <c r="S152" s="32"/>
      <c r="T152" s="35"/>
    </row>
    <row r="153" customFormat="false" ht="103.5" hidden="false" customHeight="true" outlineLevel="0" collapsed="false">
      <c r="A153" s="27" t="s">
        <v>1196</v>
      </c>
      <c r="B153" s="28" t="s">
        <v>1109</v>
      </c>
      <c r="C153" s="29" t="s">
        <v>60</v>
      </c>
      <c r="D153" s="28" t="n">
        <v>4</v>
      </c>
      <c r="E153" s="28" t="n">
        <v>4</v>
      </c>
      <c r="F153" s="28" t="n">
        <v>16</v>
      </c>
      <c r="G153" s="30" t="s">
        <v>1197</v>
      </c>
      <c r="H153" s="27" t="s">
        <v>1198</v>
      </c>
      <c r="I153" s="27" t="s">
        <v>1199</v>
      </c>
      <c r="J153" s="31" t="s">
        <v>1200</v>
      </c>
      <c r="K153" s="31" t="s">
        <v>1201</v>
      </c>
      <c r="L153" s="27" t="s">
        <v>1202</v>
      </c>
      <c r="M153" s="27" t="s">
        <v>101</v>
      </c>
      <c r="N153" s="27" t="s">
        <v>411</v>
      </c>
      <c r="O153" s="27" t="s">
        <v>810</v>
      </c>
      <c r="P153" s="27" t="s">
        <v>142</v>
      </c>
      <c r="Q153" s="28" t="n">
        <v>3</v>
      </c>
      <c r="R153" s="32" t="s">
        <v>53</v>
      </c>
      <c r="S153" s="32"/>
      <c r="T153" s="35"/>
    </row>
    <row r="154" customFormat="false" ht="103.5" hidden="false" customHeight="true" outlineLevel="0" collapsed="false">
      <c r="A154" s="27" t="s">
        <v>1203</v>
      </c>
      <c r="B154" s="28" t="s">
        <v>1109</v>
      </c>
      <c r="C154" s="36" t="s">
        <v>61</v>
      </c>
      <c r="D154" s="28" t="n">
        <v>1</v>
      </c>
      <c r="E154" s="28" t="n">
        <v>1</v>
      </c>
      <c r="F154" s="28" t="n">
        <v>1</v>
      </c>
      <c r="G154" s="30" t="s">
        <v>1204</v>
      </c>
      <c r="H154" s="27" t="s">
        <v>1205</v>
      </c>
      <c r="I154" s="27" t="s">
        <v>1206</v>
      </c>
      <c r="J154" s="31" t="s">
        <v>1207</v>
      </c>
      <c r="K154" s="31" t="s">
        <v>1208</v>
      </c>
      <c r="L154" s="27" t="s">
        <v>1209</v>
      </c>
      <c r="M154" s="27" t="s">
        <v>254</v>
      </c>
      <c r="N154" s="27" t="s">
        <v>102</v>
      </c>
      <c r="O154" s="27" t="s">
        <v>255</v>
      </c>
      <c r="P154" s="27" t="s">
        <v>256</v>
      </c>
      <c r="Q154" s="28" t="n">
        <v>1</v>
      </c>
      <c r="R154" s="32" t="s">
        <v>53</v>
      </c>
      <c r="S154" s="32"/>
      <c r="T154" s="35"/>
    </row>
    <row r="155" customFormat="false" ht="103.5" hidden="false" customHeight="true" outlineLevel="0" collapsed="false">
      <c r="A155" s="27" t="s">
        <v>1210</v>
      </c>
      <c r="B155" s="28" t="s">
        <v>1109</v>
      </c>
      <c r="C155" s="36" t="s">
        <v>61</v>
      </c>
      <c r="D155" s="28" t="n">
        <v>1</v>
      </c>
      <c r="E155" s="28" t="n">
        <v>2</v>
      </c>
      <c r="F155" s="28" t="n">
        <v>2</v>
      </c>
      <c r="G155" s="30" t="s">
        <v>1211</v>
      </c>
      <c r="H155" s="27" t="s">
        <v>259</v>
      </c>
      <c r="I155" s="27" t="s">
        <v>260</v>
      </c>
      <c r="J155" s="31" t="s">
        <v>1212</v>
      </c>
      <c r="K155" s="31" t="s">
        <v>1213</v>
      </c>
      <c r="L155" s="27" t="s">
        <v>1214</v>
      </c>
      <c r="M155" s="27" t="s">
        <v>254</v>
      </c>
      <c r="N155" s="27" t="s">
        <v>112</v>
      </c>
      <c r="O155" s="27" t="s">
        <v>264</v>
      </c>
      <c r="P155" s="27" t="s">
        <v>256</v>
      </c>
      <c r="Q155" s="28" t="n">
        <v>1</v>
      </c>
      <c r="R155" s="32" t="s">
        <v>53</v>
      </c>
      <c r="S155" s="32"/>
      <c r="T155" s="35"/>
    </row>
    <row r="156" customFormat="false" ht="103.5" hidden="false" customHeight="true" outlineLevel="0" collapsed="false">
      <c r="A156" s="27" t="s">
        <v>1215</v>
      </c>
      <c r="B156" s="28" t="s">
        <v>1109</v>
      </c>
      <c r="C156" s="36" t="s">
        <v>61</v>
      </c>
      <c r="D156" s="28" t="n">
        <v>1</v>
      </c>
      <c r="E156" s="28" t="n">
        <v>3</v>
      </c>
      <c r="F156" s="28" t="n">
        <v>3</v>
      </c>
      <c r="G156" s="30" t="s">
        <v>817</v>
      </c>
      <c r="H156" s="27" t="s">
        <v>818</v>
      </c>
      <c r="I156" s="27" t="s">
        <v>819</v>
      </c>
      <c r="J156" s="31" t="s">
        <v>269</v>
      </c>
      <c r="K156" s="31" t="s">
        <v>1216</v>
      </c>
      <c r="L156" s="27" t="s">
        <v>1217</v>
      </c>
      <c r="M156" s="27" t="s">
        <v>254</v>
      </c>
      <c r="N156" s="27" t="s">
        <v>272</v>
      </c>
      <c r="O156" s="27" t="s">
        <v>273</v>
      </c>
      <c r="P156" s="27" t="s">
        <v>256</v>
      </c>
      <c r="Q156" s="28" t="n">
        <v>1</v>
      </c>
      <c r="R156" s="32" t="s">
        <v>53</v>
      </c>
      <c r="S156" s="32"/>
      <c r="T156" s="35"/>
    </row>
    <row r="157" customFormat="false" ht="103.5" hidden="false" customHeight="true" outlineLevel="0" collapsed="false">
      <c r="A157" s="27" t="s">
        <v>1218</v>
      </c>
      <c r="B157" s="28" t="s">
        <v>1109</v>
      </c>
      <c r="C157" s="36" t="s">
        <v>61</v>
      </c>
      <c r="D157" s="28" t="n">
        <v>1</v>
      </c>
      <c r="E157" s="28" t="n">
        <v>4</v>
      </c>
      <c r="F157" s="28" t="n">
        <v>4</v>
      </c>
      <c r="G157" s="30" t="s">
        <v>1219</v>
      </c>
      <c r="H157" s="27" t="s">
        <v>276</v>
      </c>
      <c r="I157" s="27" t="s">
        <v>277</v>
      </c>
      <c r="J157" s="31" t="s">
        <v>278</v>
      </c>
      <c r="K157" s="31" t="s">
        <v>1220</v>
      </c>
      <c r="L157" s="27" t="s">
        <v>1221</v>
      </c>
      <c r="M157" s="27" t="s">
        <v>254</v>
      </c>
      <c r="N157" s="27" t="s">
        <v>281</v>
      </c>
      <c r="O157" s="27"/>
      <c r="P157" s="27" t="s">
        <v>256</v>
      </c>
      <c r="Q157" s="28" t="n">
        <v>1</v>
      </c>
      <c r="R157" s="32" t="s">
        <v>53</v>
      </c>
      <c r="S157" s="32"/>
      <c r="T157" s="35"/>
    </row>
    <row r="158" customFormat="false" ht="103.5" hidden="false" customHeight="true" outlineLevel="0" collapsed="false">
      <c r="A158" s="27" t="s">
        <v>1222</v>
      </c>
      <c r="B158" s="28" t="s">
        <v>1109</v>
      </c>
      <c r="C158" s="36" t="s">
        <v>61</v>
      </c>
      <c r="D158" s="28" t="n">
        <v>1</v>
      </c>
      <c r="E158" s="28" t="n">
        <v>5</v>
      </c>
      <c r="F158" s="28" t="n">
        <v>5</v>
      </c>
      <c r="G158" s="30" t="s">
        <v>284</v>
      </c>
      <c r="H158" s="27" t="s">
        <v>285</v>
      </c>
      <c r="I158" s="27" t="s">
        <v>286</v>
      </c>
      <c r="J158" s="31" t="s">
        <v>287</v>
      </c>
      <c r="K158" s="31" t="s">
        <v>288</v>
      </c>
      <c r="L158" s="27" t="s">
        <v>289</v>
      </c>
      <c r="M158" s="27" t="s">
        <v>290</v>
      </c>
      <c r="N158" s="27" t="s">
        <v>291</v>
      </c>
      <c r="O158" s="27" t="s">
        <v>1223</v>
      </c>
      <c r="P158" s="27" t="s">
        <v>293</v>
      </c>
      <c r="Q158" s="28" t="n">
        <v>1</v>
      </c>
      <c r="R158" s="32" t="s">
        <v>53</v>
      </c>
      <c r="S158" s="32"/>
      <c r="T158" s="35"/>
    </row>
    <row r="159" customFormat="false" ht="103.5" hidden="false" customHeight="true" outlineLevel="0" collapsed="false">
      <c r="A159" s="27" t="s">
        <v>1224</v>
      </c>
      <c r="B159" s="28" t="s">
        <v>1109</v>
      </c>
      <c r="C159" s="36" t="s">
        <v>61</v>
      </c>
      <c r="D159" s="28" t="n">
        <v>2</v>
      </c>
      <c r="E159" s="28" t="n">
        <v>1</v>
      </c>
      <c r="F159" s="28" t="n">
        <v>6</v>
      </c>
      <c r="G159" s="30" t="s">
        <v>1225</v>
      </c>
      <c r="H159" s="27" t="s">
        <v>828</v>
      </c>
      <c r="I159" s="27" t="s">
        <v>829</v>
      </c>
      <c r="J159" s="31" t="s">
        <v>1226</v>
      </c>
      <c r="K159" s="31" t="s">
        <v>1227</v>
      </c>
      <c r="L159" s="27" t="s">
        <v>1228</v>
      </c>
      <c r="M159" s="27" t="s">
        <v>254</v>
      </c>
      <c r="N159" s="27" t="s">
        <v>832</v>
      </c>
      <c r="O159" s="27"/>
      <c r="P159" s="27" t="s">
        <v>256</v>
      </c>
      <c r="Q159" s="28" t="n">
        <v>1</v>
      </c>
      <c r="R159" s="32" t="s">
        <v>53</v>
      </c>
      <c r="S159" s="32"/>
      <c r="T159" s="35"/>
    </row>
    <row r="160" customFormat="false" ht="103.5" hidden="false" customHeight="true" outlineLevel="0" collapsed="false">
      <c r="A160" s="27" t="s">
        <v>1229</v>
      </c>
      <c r="B160" s="28" t="s">
        <v>1109</v>
      </c>
      <c r="C160" s="36" t="s">
        <v>61</v>
      </c>
      <c r="D160" s="28" t="n">
        <v>2</v>
      </c>
      <c r="E160" s="28" t="n">
        <v>2</v>
      </c>
      <c r="F160" s="28" t="n">
        <v>7</v>
      </c>
      <c r="G160" s="30" t="s">
        <v>1230</v>
      </c>
      <c r="H160" s="27" t="s">
        <v>835</v>
      </c>
      <c r="I160" s="27" t="s">
        <v>836</v>
      </c>
      <c r="J160" s="31" t="s">
        <v>306</v>
      </c>
      <c r="K160" s="31" t="s">
        <v>1231</v>
      </c>
      <c r="L160" s="27" t="s">
        <v>1232</v>
      </c>
      <c r="M160" s="27" t="s">
        <v>254</v>
      </c>
      <c r="N160" s="27" t="s">
        <v>217</v>
      </c>
      <c r="O160" s="27"/>
      <c r="P160" s="27" t="s">
        <v>256</v>
      </c>
      <c r="Q160" s="28" t="n">
        <v>1</v>
      </c>
      <c r="R160" s="32" t="s">
        <v>53</v>
      </c>
      <c r="S160" s="32"/>
      <c r="T160" s="35"/>
    </row>
    <row r="161" customFormat="false" ht="103.5" hidden="false" customHeight="true" outlineLevel="0" collapsed="false">
      <c r="A161" s="27" t="s">
        <v>1233</v>
      </c>
      <c r="B161" s="28" t="s">
        <v>1109</v>
      </c>
      <c r="C161" s="36" t="s">
        <v>61</v>
      </c>
      <c r="D161" s="28" t="n">
        <v>2</v>
      </c>
      <c r="E161" s="28" t="n">
        <v>3</v>
      </c>
      <c r="F161" s="28" t="n">
        <v>8</v>
      </c>
      <c r="G161" s="30" t="s">
        <v>1234</v>
      </c>
      <c r="H161" s="27" t="s">
        <v>842</v>
      </c>
      <c r="I161" s="27" t="s">
        <v>843</v>
      </c>
      <c r="J161" s="31" t="s">
        <v>1235</v>
      </c>
      <c r="K161" s="31" t="s">
        <v>1236</v>
      </c>
      <c r="L161" s="27" t="s">
        <v>1237</v>
      </c>
      <c r="M161" s="27" t="s">
        <v>358</v>
      </c>
      <c r="N161" s="27" t="s">
        <v>1238</v>
      </c>
      <c r="O161" s="27" t="s">
        <v>1239</v>
      </c>
      <c r="P161" s="27" t="s">
        <v>256</v>
      </c>
      <c r="Q161" s="28" t="n">
        <v>1</v>
      </c>
      <c r="R161" s="32" t="s">
        <v>53</v>
      </c>
      <c r="S161" s="32"/>
      <c r="T161" s="35"/>
    </row>
    <row r="162" customFormat="false" ht="129.75" hidden="false" customHeight="true" outlineLevel="0" collapsed="false">
      <c r="A162" s="27" t="s">
        <v>1240</v>
      </c>
      <c r="B162" s="28" t="s">
        <v>1109</v>
      </c>
      <c r="C162" s="36" t="s">
        <v>61</v>
      </c>
      <c r="D162" s="28" t="n">
        <v>2</v>
      </c>
      <c r="E162" s="28" t="n">
        <v>4</v>
      </c>
      <c r="F162" s="28" t="n">
        <v>9</v>
      </c>
      <c r="G162" s="30" t="s">
        <v>1241</v>
      </c>
      <c r="H162" s="27" t="s">
        <v>321</v>
      </c>
      <c r="I162" s="27" t="s">
        <v>322</v>
      </c>
      <c r="J162" s="31" t="s">
        <v>1242</v>
      </c>
      <c r="K162" s="31" t="s">
        <v>1243</v>
      </c>
      <c r="L162" s="27" t="s">
        <v>1244</v>
      </c>
      <c r="M162" s="27" t="s">
        <v>254</v>
      </c>
      <c r="N162" s="27" t="s">
        <v>675</v>
      </c>
      <c r="O162" s="27" t="s">
        <v>1245</v>
      </c>
      <c r="P162" s="27" t="s">
        <v>256</v>
      </c>
      <c r="Q162" s="28" t="n">
        <v>1</v>
      </c>
      <c r="R162" s="32" t="s">
        <v>53</v>
      </c>
      <c r="S162" s="32"/>
      <c r="T162" s="35"/>
    </row>
    <row r="163" customFormat="false" ht="103.5" hidden="false" customHeight="true" outlineLevel="0" collapsed="false">
      <c r="A163" s="27" t="s">
        <v>1246</v>
      </c>
      <c r="B163" s="28" t="s">
        <v>1109</v>
      </c>
      <c r="C163" s="36" t="s">
        <v>61</v>
      </c>
      <c r="D163" s="28" t="n">
        <v>2</v>
      </c>
      <c r="E163" s="28" t="n">
        <v>5</v>
      </c>
      <c r="F163" s="28" t="n">
        <v>10</v>
      </c>
      <c r="G163" s="30" t="s">
        <v>1247</v>
      </c>
      <c r="H163" s="27" t="s">
        <v>329</v>
      </c>
      <c r="I163" s="27" t="s">
        <v>330</v>
      </c>
      <c r="J163" s="31" t="s">
        <v>1248</v>
      </c>
      <c r="K163" s="31" t="s">
        <v>1249</v>
      </c>
      <c r="L163" s="27" t="s">
        <v>1250</v>
      </c>
      <c r="M163" s="27" t="s">
        <v>290</v>
      </c>
      <c r="N163" s="27" t="s">
        <v>291</v>
      </c>
      <c r="O163" s="27" t="s">
        <v>1251</v>
      </c>
      <c r="P163" s="27" t="s">
        <v>293</v>
      </c>
      <c r="Q163" s="28" t="n">
        <v>1</v>
      </c>
      <c r="R163" s="32" t="s">
        <v>53</v>
      </c>
      <c r="S163" s="32"/>
      <c r="T163" s="35"/>
    </row>
    <row r="164" customFormat="false" ht="103.5" hidden="false" customHeight="true" outlineLevel="0" collapsed="false">
      <c r="A164" s="27" t="s">
        <v>1252</v>
      </c>
      <c r="B164" s="28" t="s">
        <v>1109</v>
      </c>
      <c r="C164" s="36" t="s">
        <v>61</v>
      </c>
      <c r="D164" s="28" t="n">
        <v>3</v>
      </c>
      <c r="E164" s="28" t="n">
        <v>1</v>
      </c>
      <c r="F164" s="28" t="n">
        <v>11</v>
      </c>
      <c r="G164" s="30" t="s">
        <v>1253</v>
      </c>
      <c r="H164" s="27" t="s">
        <v>855</v>
      </c>
      <c r="I164" s="27" t="s">
        <v>856</v>
      </c>
      <c r="J164" s="31" t="s">
        <v>339</v>
      </c>
      <c r="K164" s="31" t="s">
        <v>1254</v>
      </c>
      <c r="L164" s="27" t="s">
        <v>1255</v>
      </c>
      <c r="M164" s="27" t="s">
        <v>899</v>
      </c>
      <c r="N164" s="27" t="s">
        <v>179</v>
      </c>
      <c r="O164" s="27" t="s">
        <v>1256</v>
      </c>
      <c r="P164" s="27" t="s">
        <v>256</v>
      </c>
      <c r="Q164" s="28" t="n">
        <v>3</v>
      </c>
      <c r="R164" s="32" t="s">
        <v>53</v>
      </c>
      <c r="S164" s="32"/>
      <c r="T164" s="35"/>
    </row>
    <row r="165" customFormat="false" ht="103.5" hidden="false" customHeight="true" outlineLevel="0" collapsed="false">
      <c r="A165" s="27" t="s">
        <v>1257</v>
      </c>
      <c r="B165" s="28" t="s">
        <v>1109</v>
      </c>
      <c r="C165" s="36" t="s">
        <v>61</v>
      </c>
      <c r="D165" s="28" t="n">
        <v>3</v>
      </c>
      <c r="E165" s="28" t="n">
        <v>2</v>
      </c>
      <c r="F165" s="28" t="n">
        <v>12</v>
      </c>
      <c r="G165" s="30" t="s">
        <v>1258</v>
      </c>
      <c r="H165" s="27" t="s">
        <v>863</v>
      </c>
      <c r="I165" s="27" t="s">
        <v>864</v>
      </c>
      <c r="J165" s="31" t="s">
        <v>347</v>
      </c>
      <c r="K165" s="31" t="s">
        <v>1259</v>
      </c>
      <c r="L165" s="27" t="s">
        <v>1260</v>
      </c>
      <c r="M165" s="27" t="s">
        <v>254</v>
      </c>
      <c r="N165" s="27" t="s">
        <v>190</v>
      </c>
      <c r="O165" s="27" t="s">
        <v>1261</v>
      </c>
      <c r="P165" s="27" t="s">
        <v>256</v>
      </c>
      <c r="Q165" s="28" t="n">
        <v>3</v>
      </c>
      <c r="R165" s="32" t="s">
        <v>53</v>
      </c>
      <c r="S165" s="32"/>
      <c r="T165" s="35"/>
    </row>
    <row r="166" customFormat="false" ht="103.5" hidden="false" customHeight="true" outlineLevel="0" collapsed="false">
      <c r="A166" s="27" t="s">
        <v>1262</v>
      </c>
      <c r="B166" s="28" t="s">
        <v>1109</v>
      </c>
      <c r="C166" s="36" t="s">
        <v>61</v>
      </c>
      <c r="D166" s="28" t="n">
        <v>3</v>
      </c>
      <c r="E166" s="28" t="n">
        <v>3</v>
      </c>
      <c r="F166" s="28" t="n">
        <v>13</v>
      </c>
      <c r="G166" s="30" t="s">
        <v>1263</v>
      </c>
      <c r="H166" s="27" t="s">
        <v>869</v>
      </c>
      <c r="I166" s="27" t="s">
        <v>870</v>
      </c>
      <c r="J166" s="31" t="s">
        <v>1264</v>
      </c>
      <c r="K166" s="31" t="s">
        <v>1265</v>
      </c>
      <c r="L166" s="27" t="s">
        <v>1266</v>
      </c>
      <c r="M166" s="27" t="s">
        <v>1267</v>
      </c>
      <c r="N166" s="27" t="s">
        <v>359</v>
      </c>
      <c r="O166" s="27"/>
      <c r="P166" s="27" t="s">
        <v>256</v>
      </c>
      <c r="Q166" s="28" t="n">
        <v>3</v>
      </c>
      <c r="R166" s="32" t="s">
        <v>53</v>
      </c>
      <c r="S166" s="32"/>
      <c r="T166" s="35"/>
    </row>
    <row r="167" customFormat="false" ht="103.5" hidden="false" customHeight="true" outlineLevel="0" collapsed="false">
      <c r="A167" s="27" t="s">
        <v>1268</v>
      </c>
      <c r="B167" s="28" t="s">
        <v>1109</v>
      </c>
      <c r="C167" s="36" t="s">
        <v>61</v>
      </c>
      <c r="D167" s="28" t="n">
        <v>3</v>
      </c>
      <c r="E167" s="28" t="n">
        <v>4</v>
      </c>
      <c r="F167" s="28" t="n">
        <v>14</v>
      </c>
      <c r="G167" s="30" t="s">
        <v>1269</v>
      </c>
      <c r="H167" s="27" t="s">
        <v>875</v>
      </c>
      <c r="I167" s="27" t="s">
        <v>876</v>
      </c>
      <c r="J167" s="31" t="s">
        <v>1270</v>
      </c>
      <c r="K167" s="31" t="s">
        <v>1271</v>
      </c>
      <c r="L167" s="27" t="s">
        <v>1272</v>
      </c>
      <c r="M167" s="27" t="s">
        <v>254</v>
      </c>
      <c r="N167" s="27" t="s">
        <v>879</v>
      </c>
      <c r="O167" s="27"/>
      <c r="P167" s="27" t="s">
        <v>256</v>
      </c>
      <c r="Q167" s="28" t="n">
        <v>3</v>
      </c>
      <c r="R167" s="32" t="s">
        <v>53</v>
      </c>
      <c r="S167" s="32"/>
      <c r="T167" s="35"/>
    </row>
    <row r="168" customFormat="false" ht="103.5" hidden="false" customHeight="true" outlineLevel="0" collapsed="false">
      <c r="A168" s="27" t="s">
        <v>1273</v>
      </c>
      <c r="B168" s="28" t="s">
        <v>1109</v>
      </c>
      <c r="C168" s="36" t="s">
        <v>61</v>
      </c>
      <c r="D168" s="28" t="n">
        <v>3</v>
      </c>
      <c r="E168" s="28" t="n">
        <v>5</v>
      </c>
      <c r="F168" s="28" t="n">
        <v>15</v>
      </c>
      <c r="G168" s="30" t="s">
        <v>1274</v>
      </c>
      <c r="H168" s="27" t="s">
        <v>371</v>
      </c>
      <c r="I168" s="27" t="s">
        <v>372</v>
      </c>
      <c r="J168" s="31" t="s">
        <v>882</v>
      </c>
      <c r="K168" s="31" t="s">
        <v>1275</v>
      </c>
      <c r="L168" s="27" t="s">
        <v>1276</v>
      </c>
      <c r="M168" s="27" t="s">
        <v>290</v>
      </c>
      <c r="N168" s="27" t="s">
        <v>291</v>
      </c>
      <c r="O168" s="27" t="s">
        <v>1277</v>
      </c>
      <c r="P168" s="27" t="s">
        <v>293</v>
      </c>
      <c r="Q168" s="28" t="n">
        <v>3</v>
      </c>
      <c r="R168" s="32" t="s">
        <v>53</v>
      </c>
      <c r="S168" s="32"/>
      <c r="T168" s="35"/>
    </row>
    <row r="169" customFormat="false" ht="103.5" hidden="false" customHeight="true" outlineLevel="0" collapsed="false">
      <c r="A169" s="27" t="s">
        <v>1278</v>
      </c>
      <c r="B169" s="28" t="s">
        <v>1109</v>
      </c>
      <c r="C169" s="36" t="s">
        <v>61</v>
      </c>
      <c r="D169" s="28" t="n">
        <v>4</v>
      </c>
      <c r="E169" s="28" t="n">
        <v>1</v>
      </c>
      <c r="F169" s="28" t="n">
        <v>16</v>
      </c>
      <c r="G169" s="30" t="s">
        <v>1279</v>
      </c>
      <c r="H169" s="27" t="s">
        <v>1280</v>
      </c>
      <c r="I169" s="27" t="s">
        <v>1281</v>
      </c>
      <c r="J169" s="31" t="s">
        <v>382</v>
      </c>
      <c r="K169" s="31" t="s">
        <v>1282</v>
      </c>
      <c r="L169" s="27" t="s">
        <v>1283</v>
      </c>
      <c r="M169" s="27" t="s">
        <v>254</v>
      </c>
      <c r="N169" s="27" t="s">
        <v>675</v>
      </c>
      <c r="O169" s="27" t="s">
        <v>1284</v>
      </c>
      <c r="P169" s="27" t="s">
        <v>256</v>
      </c>
      <c r="Q169" s="28" t="n">
        <v>3</v>
      </c>
      <c r="R169" s="32" t="s">
        <v>53</v>
      </c>
      <c r="S169" s="32"/>
      <c r="T169" s="35"/>
    </row>
    <row r="170" customFormat="false" ht="103.5" hidden="false" customHeight="true" outlineLevel="0" collapsed="false">
      <c r="A170" s="27" t="s">
        <v>1285</v>
      </c>
      <c r="B170" s="28" t="s">
        <v>1109</v>
      </c>
      <c r="C170" s="36" t="s">
        <v>61</v>
      </c>
      <c r="D170" s="28" t="n">
        <v>4</v>
      </c>
      <c r="E170" s="28" t="n">
        <v>2</v>
      </c>
      <c r="F170" s="28" t="n">
        <v>17</v>
      </c>
      <c r="G170" s="30" t="s">
        <v>1286</v>
      </c>
      <c r="H170" s="27" t="s">
        <v>1287</v>
      </c>
      <c r="I170" s="27" t="s">
        <v>1288</v>
      </c>
      <c r="J170" s="31" t="s">
        <v>896</v>
      </c>
      <c r="K170" s="31" t="s">
        <v>1289</v>
      </c>
      <c r="L170" s="27" t="s">
        <v>1290</v>
      </c>
      <c r="M170" s="27" t="s">
        <v>254</v>
      </c>
      <c r="N170" s="27" t="s">
        <v>1291</v>
      </c>
      <c r="O170" s="27"/>
      <c r="P170" s="27" t="s">
        <v>293</v>
      </c>
      <c r="Q170" s="28" t="n">
        <v>3</v>
      </c>
      <c r="R170" s="32" t="s">
        <v>53</v>
      </c>
      <c r="S170" s="32"/>
      <c r="T170" s="35"/>
    </row>
    <row r="171" customFormat="false" ht="103.5" hidden="false" customHeight="true" outlineLevel="0" collapsed="false">
      <c r="A171" s="27" t="s">
        <v>1292</v>
      </c>
      <c r="B171" s="28" t="s">
        <v>1109</v>
      </c>
      <c r="C171" s="36" t="s">
        <v>61</v>
      </c>
      <c r="D171" s="28" t="n">
        <v>4</v>
      </c>
      <c r="E171" s="28" t="n">
        <v>3</v>
      </c>
      <c r="F171" s="28" t="n">
        <v>18</v>
      </c>
      <c r="G171" s="30" t="s">
        <v>1293</v>
      </c>
      <c r="H171" s="27" t="s">
        <v>1294</v>
      </c>
      <c r="I171" s="27" t="s">
        <v>1295</v>
      </c>
      <c r="J171" s="31" t="s">
        <v>1296</v>
      </c>
      <c r="K171" s="31" t="s">
        <v>1297</v>
      </c>
      <c r="L171" s="27" t="s">
        <v>1298</v>
      </c>
      <c r="M171" s="27" t="s">
        <v>254</v>
      </c>
      <c r="N171" s="27" t="s">
        <v>235</v>
      </c>
      <c r="O171" s="27" t="s">
        <v>402</v>
      </c>
      <c r="P171" s="27" t="s">
        <v>256</v>
      </c>
      <c r="Q171" s="28" t="n">
        <v>3</v>
      </c>
      <c r="R171" s="32" t="s">
        <v>53</v>
      </c>
      <c r="S171" s="32"/>
      <c r="T171" s="35"/>
    </row>
    <row r="172" customFormat="false" ht="103.5" hidden="false" customHeight="true" outlineLevel="0" collapsed="false">
      <c r="A172" s="27" t="s">
        <v>1299</v>
      </c>
      <c r="B172" s="28" t="s">
        <v>1109</v>
      </c>
      <c r="C172" s="36" t="s">
        <v>61</v>
      </c>
      <c r="D172" s="28" t="n">
        <v>4</v>
      </c>
      <c r="E172" s="28" t="n">
        <v>4</v>
      </c>
      <c r="F172" s="28" t="n">
        <v>19</v>
      </c>
      <c r="G172" s="30" t="s">
        <v>1300</v>
      </c>
      <c r="H172" s="27" t="s">
        <v>1301</v>
      </c>
      <c r="I172" s="27" t="s">
        <v>1302</v>
      </c>
      <c r="J172" s="31" t="s">
        <v>407</v>
      </c>
      <c r="K172" s="31" t="s">
        <v>1303</v>
      </c>
      <c r="L172" s="27" t="s">
        <v>1304</v>
      </c>
      <c r="M172" s="27" t="s">
        <v>410</v>
      </c>
      <c r="N172" s="27" t="s">
        <v>411</v>
      </c>
      <c r="O172" s="27" t="s">
        <v>541</v>
      </c>
      <c r="P172" s="27" t="s">
        <v>256</v>
      </c>
      <c r="Q172" s="28" t="n">
        <v>3</v>
      </c>
      <c r="R172" s="32" t="s">
        <v>53</v>
      </c>
      <c r="S172" s="32"/>
      <c r="T172" s="35"/>
    </row>
    <row r="173" customFormat="false" ht="103.5" hidden="false" customHeight="true" outlineLevel="0" collapsed="false">
      <c r="A173" s="27" t="s">
        <v>1305</v>
      </c>
      <c r="B173" s="28" t="s">
        <v>1109</v>
      </c>
      <c r="C173" s="36" t="s">
        <v>61</v>
      </c>
      <c r="D173" s="28" t="n">
        <v>4</v>
      </c>
      <c r="E173" s="28" t="n">
        <v>5</v>
      </c>
      <c r="F173" s="28" t="n">
        <v>20</v>
      </c>
      <c r="G173" s="30" t="s">
        <v>1306</v>
      </c>
      <c r="H173" s="27" t="s">
        <v>1307</v>
      </c>
      <c r="I173" s="27" t="s">
        <v>1308</v>
      </c>
      <c r="J173" s="31" t="s">
        <v>416</v>
      </c>
      <c r="K173" s="31" t="s">
        <v>1309</v>
      </c>
      <c r="L173" s="27" t="s">
        <v>1310</v>
      </c>
      <c r="M173" s="27" t="s">
        <v>1311</v>
      </c>
      <c r="N173" s="27" t="s">
        <v>420</v>
      </c>
      <c r="O173" s="27" t="s">
        <v>1312</v>
      </c>
      <c r="P173" s="27" t="s">
        <v>256</v>
      </c>
      <c r="Q173" s="28" t="n">
        <v>3</v>
      </c>
      <c r="R173" s="32" t="s">
        <v>53</v>
      </c>
      <c r="S173" s="32"/>
      <c r="T173" s="35"/>
    </row>
    <row r="174" customFormat="false" ht="103.5" hidden="false" customHeight="true" outlineLevel="0" collapsed="false">
      <c r="A174" s="27" t="s">
        <v>1313</v>
      </c>
      <c r="B174" s="28" t="s">
        <v>1109</v>
      </c>
      <c r="C174" s="37" t="s">
        <v>62</v>
      </c>
      <c r="D174" s="28" t="n">
        <v>1</v>
      </c>
      <c r="E174" s="28" t="n">
        <v>1</v>
      </c>
      <c r="F174" s="28" t="n">
        <v>1</v>
      </c>
      <c r="G174" s="30" t="s">
        <v>1314</v>
      </c>
      <c r="H174" s="27" t="s">
        <v>423</v>
      </c>
      <c r="I174" s="27" t="s">
        <v>424</v>
      </c>
      <c r="J174" s="31" t="s">
        <v>425</v>
      </c>
      <c r="K174" s="31" t="s">
        <v>1315</v>
      </c>
      <c r="L174" s="27" t="s">
        <v>1316</v>
      </c>
      <c r="M174" s="27" t="s">
        <v>428</v>
      </c>
      <c r="N174" s="27" t="s">
        <v>131</v>
      </c>
      <c r="O174" s="27" t="s">
        <v>924</v>
      </c>
      <c r="P174" s="27" t="s">
        <v>430</v>
      </c>
      <c r="Q174" s="28" t="n">
        <v>2</v>
      </c>
      <c r="R174" s="32" t="s">
        <v>53</v>
      </c>
      <c r="S174" s="32"/>
      <c r="T174" s="35"/>
    </row>
    <row r="175" customFormat="false" ht="103.5" hidden="false" customHeight="true" outlineLevel="0" collapsed="false">
      <c r="A175" s="27" t="s">
        <v>1317</v>
      </c>
      <c r="B175" s="28" t="s">
        <v>1109</v>
      </c>
      <c r="C175" s="37" t="s">
        <v>62</v>
      </c>
      <c r="D175" s="28" t="n">
        <v>1</v>
      </c>
      <c r="E175" s="28" t="n">
        <v>2</v>
      </c>
      <c r="F175" s="28" t="n">
        <v>2</v>
      </c>
      <c r="G175" s="30" t="s">
        <v>1318</v>
      </c>
      <c r="H175" s="27" t="s">
        <v>926</v>
      </c>
      <c r="I175" s="27" t="s">
        <v>927</v>
      </c>
      <c r="J175" s="31" t="s">
        <v>1319</v>
      </c>
      <c r="K175" s="31" t="s">
        <v>1320</v>
      </c>
      <c r="L175" s="27" t="s">
        <v>1321</v>
      </c>
      <c r="M175" s="27" t="s">
        <v>1322</v>
      </c>
      <c r="N175" s="27" t="s">
        <v>102</v>
      </c>
      <c r="O175" s="27" t="s">
        <v>439</v>
      </c>
      <c r="P175" s="27" t="s">
        <v>440</v>
      </c>
      <c r="Q175" s="28" t="n">
        <v>2</v>
      </c>
      <c r="R175" s="32" t="s">
        <v>53</v>
      </c>
      <c r="S175" s="32"/>
      <c r="T175" s="35"/>
    </row>
    <row r="176" customFormat="false" ht="103.5" hidden="false" customHeight="true" outlineLevel="0" collapsed="false">
      <c r="A176" s="27" t="s">
        <v>1323</v>
      </c>
      <c r="B176" s="28" t="s">
        <v>1109</v>
      </c>
      <c r="C176" s="37" t="s">
        <v>62</v>
      </c>
      <c r="D176" s="28" t="n">
        <v>1</v>
      </c>
      <c r="E176" s="28" t="n">
        <v>3</v>
      </c>
      <c r="F176" s="28" t="n">
        <v>3</v>
      </c>
      <c r="G176" s="30" t="s">
        <v>1324</v>
      </c>
      <c r="H176" s="27" t="s">
        <v>1325</v>
      </c>
      <c r="I176" s="27" t="s">
        <v>1326</v>
      </c>
      <c r="J176" s="31" t="s">
        <v>445</v>
      </c>
      <c r="K176" s="31" t="s">
        <v>1327</v>
      </c>
      <c r="L176" s="27" t="s">
        <v>1328</v>
      </c>
      <c r="M176" s="27" t="s">
        <v>1322</v>
      </c>
      <c r="N176" s="27" t="s">
        <v>1238</v>
      </c>
      <c r="O176" s="27" t="s">
        <v>1329</v>
      </c>
      <c r="P176" s="27" t="s">
        <v>440</v>
      </c>
      <c r="Q176" s="28" t="n">
        <v>2</v>
      </c>
      <c r="R176" s="32" t="s">
        <v>53</v>
      </c>
      <c r="S176" s="32"/>
      <c r="T176" s="35"/>
    </row>
    <row r="177" customFormat="false" ht="103.5" hidden="false" customHeight="true" outlineLevel="0" collapsed="false">
      <c r="A177" s="27" t="s">
        <v>1330</v>
      </c>
      <c r="B177" s="28" t="s">
        <v>1109</v>
      </c>
      <c r="C177" s="37" t="s">
        <v>62</v>
      </c>
      <c r="D177" s="28" t="n">
        <v>1</v>
      </c>
      <c r="E177" s="28" t="n">
        <v>4</v>
      </c>
      <c r="F177" s="28" t="n">
        <v>4</v>
      </c>
      <c r="G177" s="30" t="s">
        <v>1331</v>
      </c>
      <c r="H177" s="27" t="s">
        <v>933</v>
      </c>
      <c r="I177" s="27" t="s">
        <v>934</v>
      </c>
      <c r="J177" s="31" t="s">
        <v>1332</v>
      </c>
      <c r="K177" s="31" t="s">
        <v>1333</v>
      </c>
      <c r="L177" s="27" t="s">
        <v>1334</v>
      </c>
      <c r="M177" s="27" t="s">
        <v>935</v>
      </c>
      <c r="N177" s="27" t="s">
        <v>131</v>
      </c>
      <c r="O177" s="27" t="s">
        <v>936</v>
      </c>
      <c r="P177" s="27" t="s">
        <v>430</v>
      </c>
      <c r="Q177" s="28" t="n">
        <v>2</v>
      </c>
      <c r="R177" s="32" t="s">
        <v>53</v>
      </c>
      <c r="S177" s="32"/>
      <c r="T177" s="35"/>
    </row>
    <row r="178" customFormat="false" ht="103.5" hidden="false" customHeight="true" outlineLevel="0" collapsed="false">
      <c r="A178" s="27" t="s">
        <v>1335</v>
      </c>
      <c r="B178" s="28" t="s">
        <v>1109</v>
      </c>
      <c r="C178" s="37" t="s">
        <v>62</v>
      </c>
      <c r="D178" s="28" t="n">
        <v>2</v>
      </c>
      <c r="E178" s="28" t="n">
        <v>1</v>
      </c>
      <c r="F178" s="28" t="n">
        <v>5</v>
      </c>
      <c r="G178" s="30" t="s">
        <v>1336</v>
      </c>
      <c r="H178" s="27" t="s">
        <v>460</v>
      </c>
      <c r="I178" s="27" t="s">
        <v>461</v>
      </c>
      <c r="J178" s="31" t="s">
        <v>1337</v>
      </c>
      <c r="K178" s="31" t="s">
        <v>1338</v>
      </c>
      <c r="L178" s="27" t="s">
        <v>1339</v>
      </c>
      <c r="M178" s="27" t="s">
        <v>465</v>
      </c>
      <c r="N178" s="27" t="s">
        <v>466</v>
      </c>
      <c r="O178" s="27" t="s">
        <v>1340</v>
      </c>
      <c r="P178" s="27" t="s">
        <v>468</v>
      </c>
      <c r="Q178" s="28" t="n">
        <v>2</v>
      </c>
      <c r="R178" s="32" t="s">
        <v>53</v>
      </c>
      <c r="S178" s="32"/>
      <c r="T178" s="35"/>
    </row>
    <row r="179" customFormat="false" ht="103.5" hidden="false" customHeight="true" outlineLevel="0" collapsed="false">
      <c r="A179" s="27" t="s">
        <v>1341</v>
      </c>
      <c r="B179" s="28" t="s">
        <v>1109</v>
      </c>
      <c r="C179" s="37" t="s">
        <v>62</v>
      </c>
      <c r="D179" s="28" t="n">
        <v>2</v>
      </c>
      <c r="E179" s="28" t="n">
        <v>2</v>
      </c>
      <c r="F179" s="28" t="n">
        <v>6</v>
      </c>
      <c r="G179" s="30" t="s">
        <v>1342</v>
      </c>
      <c r="H179" s="27" t="s">
        <v>944</v>
      </c>
      <c r="I179" s="27" t="s">
        <v>945</v>
      </c>
      <c r="J179" s="31" t="s">
        <v>1343</v>
      </c>
      <c r="K179" s="31" t="s">
        <v>1344</v>
      </c>
      <c r="L179" s="27" t="s">
        <v>1345</v>
      </c>
      <c r="M179" s="27" t="s">
        <v>486</v>
      </c>
      <c r="N179" s="27" t="s">
        <v>558</v>
      </c>
      <c r="O179" s="27" t="s">
        <v>1346</v>
      </c>
      <c r="P179" s="27" t="s">
        <v>478</v>
      </c>
      <c r="Q179" s="28" t="n">
        <v>2</v>
      </c>
      <c r="R179" s="32" t="s">
        <v>53</v>
      </c>
      <c r="S179" s="32"/>
      <c r="T179" s="35"/>
    </row>
    <row r="180" customFormat="false" ht="103.5" hidden="false" customHeight="true" outlineLevel="0" collapsed="false">
      <c r="A180" s="27" t="s">
        <v>1347</v>
      </c>
      <c r="B180" s="28" t="s">
        <v>1109</v>
      </c>
      <c r="C180" s="37" t="s">
        <v>62</v>
      </c>
      <c r="D180" s="28" t="n">
        <v>2</v>
      </c>
      <c r="E180" s="28" t="n">
        <v>3</v>
      </c>
      <c r="F180" s="28" t="n">
        <v>7</v>
      </c>
      <c r="G180" s="30" t="s">
        <v>1348</v>
      </c>
      <c r="H180" s="27" t="s">
        <v>1349</v>
      </c>
      <c r="I180" s="27" t="s">
        <v>1350</v>
      </c>
      <c r="J180" s="31" t="s">
        <v>483</v>
      </c>
      <c r="K180" s="31" t="s">
        <v>1351</v>
      </c>
      <c r="L180" s="27" t="s">
        <v>1352</v>
      </c>
      <c r="M180" s="27" t="s">
        <v>512</v>
      </c>
      <c r="N180" s="27" t="s">
        <v>208</v>
      </c>
      <c r="O180" s="27" t="s">
        <v>1353</v>
      </c>
      <c r="P180" s="27" t="s">
        <v>478</v>
      </c>
      <c r="Q180" s="28" t="n">
        <v>2</v>
      </c>
      <c r="R180" s="32" t="s">
        <v>53</v>
      </c>
      <c r="S180" s="32"/>
      <c r="T180" s="35"/>
    </row>
    <row r="181" customFormat="false" ht="103.5" hidden="false" customHeight="true" outlineLevel="0" collapsed="false">
      <c r="A181" s="27" t="s">
        <v>1354</v>
      </c>
      <c r="B181" s="28" t="s">
        <v>1109</v>
      </c>
      <c r="C181" s="37" t="s">
        <v>62</v>
      </c>
      <c r="D181" s="28" t="n">
        <v>2</v>
      </c>
      <c r="E181" s="28" t="n">
        <v>4</v>
      </c>
      <c r="F181" s="28" t="n">
        <v>8</v>
      </c>
      <c r="G181" s="30" t="s">
        <v>1355</v>
      </c>
      <c r="H181" s="27" t="s">
        <v>958</v>
      </c>
      <c r="I181" s="27" t="s">
        <v>959</v>
      </c>
      <c r="J181" s="31" t="s">
        <v>1356</v>
      </c>
      <c r="K181" s="31" t="s">
        <v>1357</v>
      </c>
      <c r="L181" s="27" t="s">
        <v>1358</v>
      </c>
      <c r="M181" s="27" t="s">
        <v>1359</v>
      </c>
      <c r="N181" s="27" t="s">
        <v>466</v>
      </c>
      <c r="O181" s="27" t="s">
        <v>1360</v>
      </c>
      <c r="P181" s="27" t="s">
        <v>468</v>
      </c>
      <c r="Q181" s="28" t="n">
        <v>2</v>
      </c>
      <c r="R181" s="32" t="s">
        <v>53</v>
      </c>
      <c r="S181" s="32"/>
      <c r="T181" s="35"/>
    </row>
    <row r="182" customFormat="false" ht="103.5" hidden="false" customHeight="true" outlineLevel="0" collapsed="false">
      <c r="A182" s="27" t="s">
        <v>1361</v>
      </c>
      <c r="B182" s="28" t="s">
        <v>1109</v>
      </c>
      <c r="C182" s="37" t="s">
        <v>62</v>
      </c>
      <c r="D182" s="28" t="n">
        <v>3</v>
      </c>
      <c r="E182" s="28" t="n">
        <v>1</v>
      </c>
      <c r="F182" s="28" t="n">
        <v>9</v>
      </c>
      <c r="G182" s="30" t="s">
        <v>1362</v>
      </c>
      <c r="H182" s="27" t="s">
        <v>1363</v>
      </c>
      <c r="I182" s="27" t="s">
        <v>1364</v>
      </c>
      <c r="J182" s="31" t="s">
        <v>967</v>
      </c>
      <c r="K182" s="31" t="s">
        <v>1365</v>
      </c>
      <c r="L182" s="27" t="s">
        <v>1366</v>
      </c>
      <c r="M182" s="27" t="s">
        <v>512</v>
      </c>
      <c r="N182" s="27" t="s">
        <v>179</v>
      </c>
      <c r="O182" s="27" t="s">
        <v>1367</v>
      </c>
      <c r="P182" s="27" t="s">
        <v>478</v>
      </c>
      <c r="Q182" s="28" t="n">
        <v>3</v>
      </c>
      <c r="R182" s="32" t="s">
        <v>53</v>
      </c>
      <c r="S182" s="32"/>
      <c r="T182" s="35"/>
    </row>
    <row r="183" customFormat="false" ht="103.5" hidden="false" customHeight="true" outlineLevel="0" collapsed="false">
      <c r="A183" s="27" t="s">
        <v>1368</v>
      </c>
      <c r="B183" s="28" t="s">
        <v>1109</v>
      </c>
      <c r="C183" s="37" t="s">
        <v>62</v>
      </c>
      <c r="D183" s="28" t="n">
        <v>3</v>
      </c>
      <c r="E183" s="28" t="n">
        <v>2</v>
      </c>
      <c r="F183" s="28" t="n">
        <v>10</v>
      </c>
      <c r="G183" s="30" t="s">
        <v>1369</v>
      </c>
      <c r="H183" s="27" t="s">
        <v>1370</v>
      </c>
      <c r="I183" s="27" t="s">
        <v>1371</v>
      </c>
      <c r="J183" s="31" t="s">
        <v>1372</v>
      </c>
      <c r="K183" s="31" t="s">
        <v>1373</v>
      </c>
      <c r="L183" s="27" t="s">
        <v>1374</v>
      </c>
      <c r="M183" s="27" t="s">
        <v>955</v>
      </c>
      <c r="N183" s="27" t="s">
        <v>190</v>
      </c>
      <c r="O183" s="27" t="s">
        <v>1375</v>
      </c>
      <c r="P183" s="27" t="s">
        <v>478</v>
      </c>
      <c r="Q183" s="28" t="n">
        <v>3</v>
      </c>
      <c r="R183" s="32" t="s">
        <v>53</v>
      </c>
      <c r="S183" s="32"/>
      <c r="T183" s="35"/>
    </row>
    <row r="184" customFormat="false" ht="103.5" hidden="false" customHeight="true" outlineLevel="0" collapsed="false">
      <c r="A184" s="27" t="s">
        <v>1376</v>
      </c>
      <c r="B184" s="28" t="s">
        <v>1109</v>
      </c>
      <c r="C184" s="37" t="s">
        <v>62</v>
      </c>
      <c r="D184" s="28" t="n">
        <v>3</v>
      </c>
      <c r="E184" s="28" t="n">
        <v>3</v>
      </c>
      <c r="F184" s="28" t="n">
        <v>11</v>
      </c>
      <c r="G184" s="30" t="s">
        <v>1377</v>
      </c>
      <c r="H184" s="27" t="s">
        <v>979</v>
      </c>
      <c r="I184" s="27" t="s">
        <v>980</v>
      </c>
      <c r="J184" s="31" t="s">
        <v>981</v>
      </c>
      <c r="K184" s="31" t="s">
        <v>1378</v>
      </c>
      <c r="L184" s="27" t="s">
        <v>1379</v>
      </c>
      <c r="M184" s="27" t="s">
        <v>512</v>
      </c>
      <c r="N184" s="27" t="s">
        <v>786</v>
      </c>
      <c r="O184" s="27" t="s">
        <v>1380</v>
      </c>
      <c r="P184" s="27" t="s">
        <v>478</v>
      </c>
      <c r="Q184" s="28" t="n">
        <v>3</v>
      </c>
      <c r="R184" s="32" t="s">
        <v>53</v>
      </c>
      <c r="S184" s="32"/>
      <c r="T184" s="35"/>
    </row>
    <row r="185" customFormat="false" ht="103.5" hidden="false" customHeight="true" outlineLevel="0" collapsed="false">
      <c r="A185" s="27" t="s">
        <v>1381</v>
      </c>
      <c r="B185" s="28" t="s">
        <v>1109</v>
      </c>
      <c r="C185" s="37" t="s">
        <v>62</v>
      </c>
      <c r="D185" s="28" t="n">
        <v>3</v>
      </c>
      <c r="E185" s="28" t="n">
        <v>4</v>
      </c>
      <c r="F185" s="28" t="n">
        <v>12</v>
      </c>
      <c r="G185" s="30" t="s">
        <v>1382</v>
      </c>
      <c r="H185" s="27" t="s">
        <v>1383</v>
      </c>
      <c r="I185" s="27" t="s">
        <v>1384</v>
      </c>
      <c r="J185" s="31" t="s">
        <v>989</v>
      </c>
      <c r="K185" s="31" t="s">
        <v>1385</v>
      </c>
      <c r="L185" s="27" t="s">
        <v>1386</v>
      </c>
      <c r="M185" s="27" t="s">
        <v>512</v>
      </c>
      <c r="N185" s="27" t="s">
        <v>531</v>
      </c>
      <c r="O185" s="27" t="s">
        <v>532</v>
      </c>
      <c r="P185" s="27" t="s">
        <v>478</v>
      </c>
      <c r="Q185" s="28" t="n">
        <v>3</v>
      </c>
      <c r="R185" s="32" t="s">
        <v>53</v>
      </c>
      <c r="S185" s="32"/>
      <c r="T185" s="35"/>
    </row>
    <row r="186" customFormat="false" ht="103.5" hidden="false" customHeight="true" outlineLevel="0" collapsed="false">
      <c r="A186" s="27" t="s">
        <v>1387</v>
      </c>
      <c r="B186" s="28" t="s">
        <v>1109</v>
      </c>
      <c r="C186" s="37" t="s">
        <v>62</v>
      </c>
      <c r="D186" s="28" t="n">
        <v>4</v>
      </c>
      <c r="E186" s="28" t="n">
        <v>1</v>
      </c>
      <c r="F186" s="28" t="n">
        <v>13</v>
      </c>
      <c r="G186" s="30" t="s">
        <v>1388</v>
      </c>
      <c r="H186" s="27" t="s">
        <v>1389</v>
      </c>
      <c r="I186" s="27" t="s">
        <v>1390</v>
      </c>
      <c r="J186" s="31" t="s">
        <v>997</v>
      </c>
      <c r="K186" s="31" t="s">
        <v>1391</v>
      </c>
      <c r="L186" s="27" t="s">
        <v>1392</v>
      </c>
      <c r="M186" s="27" t="s">
        <v>486</v>
      </c>
      <c r="N186" s="27" t="s">
        <v>1393</v>
      </c>
      <c r="O186" s="27"/>
      <c r="P186" s="27" t="s">
        <v>478</v>
      </c>
      <c r="Q186" s="28" t="n">
        <v>3</v>
      </c>
      <c r="R186" s="32" t="s">
        <v>53</v>
      </c>
      <c r="S186" s="32"/>
      <c r="T186" s="35"/>
    </row>
    <row r="187" customFormat="false" ht="103.5" hidden="false" customHeight="true" outlineLevel="0" collapsed="false">
      <c r="A187" s="27" t="s">
        <v>1394</v>
      </c>
      <c r="B187" s="28" t="s">
        <v>1109</v>
      </c>
      <c r="C187" s="37" t="s">
        <v>62</v>
      </c>
      <c r="D187" s="28" t="n">
        <v>4</v>
      </c>
      <c r="E187" s="28" t="n">
        <v>2</v>
      </c>
      <c r="F187" s="28" t="n">
        <v>14</v>
      </c>
      <c r="G187" s="30" t="s">
        <v>1395</v>
      </c>
      <c r="H187" s="27" t="s">
        <v>1396</v>
      </c>
      <c r="I187" s="27" t="s">
        <v>1397</v>
      </c>
      <c r="J187" s="31" t="s">
        <v>546</v>
      </c>
      <c r="K187" s="31" t="s">
        <v>1398</v>
      </c>
      <c r="L187" s="27" t="s">
        <v>1399</v>
      </c>
      <c r="M187" s="27" t="s">
        <v>512</v>
      </c>
      <c r="N187" s="27" t="s">
        <v>550</v>
      </c>
      <c r="O187" s="27" t="s">
        <v>1400</v>
      </c>
      <c r="P187" s="27" t="s">
        <v>478</v>
      </c>
      <c r="Q187" s="28" t="n">
        <v>3</v>
      </c>
      <c r="R187" s="32" t="s">
        <v>53</v>
      </c>
      <c r="S187" s="32"/>
      <c r="T187" s="35"/>
    </row>
    <row r="188" customFormat="false" ht="103.5" hidden="false" customHeight="true" outlineLevel="0" collapsed="false">
      <c r="A188" s="27" t="s">
        <v>1401</v>
      </c>
      <c r="B188" s="28" t="s">
        <v>1109</v>
      </c>
      <c r="C188" s="37" t="s">
        <v>62</v>
      </c>
      <c r="D188" s="28" t="n">
        <v>4</v>
      </c>
      <c r="E188" s="28" t="n">
        <v>3</v>
      </c>
      <c r="F188" s="28" t="n">
        <v>15</v>
      </c>
      <c r="G188" s="30" t="s">
        <v>1402</v>
      </c>
      <c r="H188" s="27" t="s">
        <v>1403</v>
      </c>
      <c r="I188" s="27" t="s">
        <v>1404</v>
      </c>
      <c r="J188" s="31" t="s">
        <v>1405</v>
      </c>
      <c r="K188" s="31" t="s">
        <v>1406</v>
      </c>
      <c r="L188" s="27" t="s">
        <v>1407</v>
      </c>
      <c r="M188" s="27" t="s">
        <v>512</v>
      </c>
      <c r="N188" s="27" t="s">
        <v>558</v>
      </c>
      <c r="O188" s="27" t="s">
        <v>123</v>
      </c>
      <c r="P188" s="27" t="s">
        <v>478</v>
      </c>
      <c r="Q188" s="28" t="n">
        <v>3</v>
      </c>
      <c r="R188" s="32" t="s">
        <v>53</v>
      </c>
      <c r="S188" s="32"/>
      <c r="T188" s="35"/>
    </row>
    <row r="189" customFormat="false" ht="103.5" hidden="false" customHeight="true" outlineLevel="0" collapsed="false">
      <c r="A189" s="27" t="s">
        <v>1408</v>
      </c>
      <c r="B189" s="28" t="s">
        <v>1109</v>
      </c>
      <c r="C189" s="37" t="s">
        <v>62</v>
      </c>
      <c r="D189" s="28" t="n">
        <v>4</v>
      </c>
      <c r="E189" s="28" t="n">
        <v>4</v>
      </c>
      <c r="F189" s="28" t="n">
        <v>16</v>
      </c>
      <c r="G189" s="30" t="s">
        <v>1409</v>
      </c>
      <c r="H189" s="27" t="s">
        <v>1410</v>
      </c>
      <c r="I189" s="27" t="s">
        <v>1411</v>
      </c>
      <c r="J189" s="31" t="s">
        <v>1017</v>
      </c>
      <c r="K189" s="31" t="s">
        <v>1412</v>
      </c>
      <c r="L189" s="27" t="s">
        <v>1413</v>
      </c>
      <c r="M189" s="27" t="s">
        <v>1414</v>
      </c>
      <c r="N189" s="27" t="s">
        <v>531</v>
      </c>
      <c r="O189" s="27" t="s">
        <v>566</v>
      </c>
      <c r="P189" s="27" t="s">
        <v>478</v>
      </c>
      <c r="Q189" s="28" t="n">
        <v>3</v>
      </c>
      <c r="R189" s="32" t="s">
        <v>53</v>
      </c>
      <c r="S189" s="32"/>
      <c r="T189" s="35"/>
    </row>
    <row r="190" customFormat="false" ht="103.5" hidden="false" customHeight="true" outlineLevel="0" collapsed="false">
      <c r="A190" s="27" t="s">
        <v>1415</v>
      </c>
      <c r="B190" s="28" t="s">
        <v>1109</v>
      </c>
      <c r="C190" s="32" t="s">
        <v>63</v>
      </c>
      <c r="D190" s="28" t="n">
        <v>1</v>
      </c>
      <c r="E190" s="28" t="n">
        <v>1</v>
      </c>
      <c r="F190" s="28" t="n">
        <v>1</v>
      </c>
      <c r="G190" s="30" t="s">
        <v>1416</v>
      </c>
      <c r="H190" s="27" t="s">
        <v>569</v>
      </c>
      <c r="I190" s="27" t="s">
        <v>570</v>
      </c>
      <c r="J190" s="31" t="s">
        <v>571</v>
      </c>
      <c r="K190" s="31" t="s">
        <v>1417</v>
      </c>
      <c r="L190" s="27" t="s">
        <v>1418</v>
      </c>
      <c r="M190" s="27" t="s">
        <v>574</v>
      </c>
      <c r="N190" s="27" t="s">
        <v>131</v>
      </c>
      <c r="O190" s="27" t="s">
        <v>1023</v>
      </c>
      <c r="P190" s="27" t="s">
        <v>576</v>
      </c>
      <c r="Q190" s="28" t="n">
        <v>2</v>
      </c>
      <c r="R190" s="32" t="s">
        <v>53</v>
      </c>
      <c r="S190" s="32"/>
      <c r="T190" s="35"/>
    </row>
    <row r="191" customFormat="false" ht="103.5" hidden="false" customHeight="true" outlineLevel="0" collapsed="false">
      <c r="A191" s="27" t="s">
        <v>1419</v>
      </c>
      <c r="B191" s="28" t="s">
        <v>1109</v>
      </c>
      <c r="C191" s="32" t="s">
        <v>63</v>
      </c>
      <c r="D191" s="28" t="n">
        <v>1</v>
      </c>
      <c r="E191" s="28" t="n">
        <v>2</v>
      </c>
      <c r="F191" s="28" t="n">
        <v>2</v>
      </c>
      <c r="G191" s="30" t="s">
        <v>1420</v>
      </c>
      <c r="H191" s="27" t="s">
        <v>579</v>
      </c>
      <c r="I191" s="27" t="s">
        <v>580</v>
      </c>
      <c r="J191" s="31" t="s">
        <v>1421</v>
      </c>
      <c r="K191" s="31" t="s">
        <v>1422</v>
      </c>
      <c r="L191" s="27" t="s">
        <v>1423</v>
      </c>
      <c r="M191" s="27" t="s">
        <v>584</v>
      </c>
      <c r="N191" s="27" t="s">
        <v>131</v>
      </c>
      <c r="O191" s="27" t="s">
        <v>1027</v>
      </c>
      <c r="P191" s="27" t="s">
        <v>576</v>
      </c>
      <c r="Q191" s="28" t="n">
        <v>2</v>
      </c>
      <c r="R191" s="32" t="s">
        <v>53</v>
      </c>
      <c r="S191" s="32"/>
      <c r="T191" s="35"/>
    </row>
    <row r="192" customFormat="false" ht="103.5" hidden="false" customHeight="true" outlineLevel="0" collapsed="false">
      <c r="A192" s="27" t="s">
        <v>1424</v>
      </c>
      <c r="B192" s="28" t="s">
        <v>1109</v>
      </c>
      <c r="C192" s="32" t="s">
        <v>63</v>
      </c>
      <c r="D192" s="28" t="n">
        <v>1</v>
      </c>
      <c r="E192" s="28" t="n">
        <v>3</v>
      </c>
      <c r="F192" s="28" t="n">
        <v>3</v>
      </c>
      <c r="G192" s="30" t="s">
        <v>1425</v>
      </c>
      <c r="H192" s="27" t="s">
        <v>588</v>
      </c>
      <c r="I192" s="27" t="s">
        <v>589</v>
      </c>
      <c r="J192" s="31" t="s">
        <v>590</v>
      </c>
      <c r="K192" s="31" t="s">
        <v>1426</v>
      </c>
      <c r="L192" s="27" t="s">
        <v>1427</v>
      </c>
      <c r="M192" s="27" t="s">
        <v>602</v>
      </c>
      <c r="N192" s="27" t="s">
        <v>272</v>
      </c>
      <c r="O192" s="27" t="s">
        <v>594</v>
      </c>
      <c r="P192" s="27"/>
      <c r="Q192" s="28" t="n">
        <v>2</v>
      </c>
      <c r="R192" s="32" t="s">
        <v>53</v>
      </c>
      <c r="S192" s="32"/>
      <c r="T192" s="35"/>
    </row>
    <row r="193" customFormat="false" ht="103.5" hidden="false" customHeight="true" outlineLevel="0" collapsed="false">
      <c r="A193" s="27" t="s">
        <v>1428</v>
      </c>
      <c r="B193" s="28" t="s">
        <v>1109</v>
      </c>
      <c r="C193" s="32" t="s">
        <v>63</v>
      </c>
      <c r="D193" s="28" t="n">
        <v>1</v>
      </c>
      <c r="E193" s="28" t="n">
        <v>4</v>
      </c>
      <c r="F193" s="28" t="n">
        <v>4</v>
      </c>
      <c r="G193" s="30" t="s">
        <v>596</v>
      </c>
      <c r="H193" s="27" t="s">
        <v>1032</v>
      </c>
      <c r="I193" s="27" t="s">
        <v>1033</v>
      </c>
      <c r="J193" s="31" t="s">
        <v>599</v>
      </c>
      <c r="K193" s="31" t="s">
        <v>1429</v>
      </c>
      <c r="L193" s="27" t="s">
        <v>1430</v>
      </c>
      <c r="M193" s="27" t="s">
        <v>602</v>
      </c>
      <c r="N193" s="27" t="s">
        <v>102</v>
      </c>
      <c r="O193" s="27" t="s">
        <v>603</v>
      </c>
      <c r="P193" s="27"/>
      <c r="Q193" s="28" t="n">
        <v>2</v>
      </c>
      <c r="R193" s="32" t="s">
        <v>53</v>
      </c>
      <c r="S193" s="32"/>
      <c r="T193" s="35"/>
    </row>
    <row r="194" customFormat="false" ht="103.5" hidden="false" customHeight="true" outlineLevel="0" collapsed="false">
      <c r="A194" s="27" t="s">
        <v>1431</v>
      </c>
      <c r="B194" s="28" t="s">
        <v>1109</v>
      </c>
      <c r="C194" s="32" t="s">
        <v>63</v>
      </c>
      <c r="D194" s="28" t="n">
        <v>2</v>
      </c>
      <c r="E194" s="28" t="n">
        <v>1</v>
      </c>
      <c r="F194" s="28" t="n">
        <v>5</v>
      </c>
      <c r="G194" s="30" t="s">
        <v>1432</v>
      </c>
      <c r="H194" s="27" t="s">
        <v>1038</v>
      </c>
      <c r="I194" s="27" t="s">
        <v>1039</v>
      </c>
      <c r="J194" s="31" t="s">
        <v>1433</v>
      </c>
      <c r="K194" s="31" t="s">
        <v>1434</v>
      </c>
      <c r="L194" s="27" t="s">
        <v>1435</v>
      </c>
      <c r="M194" s="27" t="s">
        <v>602</v>
      </c>
      <c r="N194" s="27" t="s">
        <v>466</v>
      </c>
      <c r="O194" s="27" t="s">
        <v>1436</v>
      </c>
      <c r="P194" s="27" t="s">
        <v>612</v>
      </c>
      <c r="Q194" s="28" t="n">
        <v>2</v>
      </c>
      <c r="R194" s="32" t="s">
        <v>53</v>
      </c>
      <c r="S194" s="32"/>
      <c r="T194" s="35"/>
    </row>
    <row r="195" customFormat="false" ht="103.5" hidden="false" customHeight="true" outlineLevel="0" collapsed="false">
      <c r="A195" s="27" t="s">
        <v>1437</v>
      </c>
      <c r="B195" s="28" t="s">
        <v>1109</v>
      </c>
      <c r="C195" s="32" t="s">
        <v>63</v>
      </c>
      <c r="D195" s="28" t="n">
        <v>2</v>
      </c>
      <c r="E195" s="28" t="n">
        <v>2</v>
      </c>
      <c r="F195" s="28" t="n">
        <v>6</v>
      </c>
      <c r="G195" s="30" t="s">
        <v>1438</v>
      </c>
      <c r="H195" s="27" t="s">
        <v>1439</v>
      </c>
      <c r="I195" s="27" t="s">
        <v>1440</v>
      </c>
      <c r="J195" s="31" t="s">
        <v>617</v>
      </c>
      <c r="K195" s="31" t="s">
        <v>1441</v>
      </c>
      <c r="L195" s="27" t="s">
        <v>1442</v>
      </c>
      <c r="M195" s="27" t="s">
        <v>602</v>
      </c>
      <c r="N195" s="27" t="s">
        <v>466</v>
      </c>
      <c r="O195" s="27" t="s">
        <v>657</v>
      </c>
      <c r="P195" s="27" t="s">
        <v>612</v>
      </c>
      <c r="Q195" s="28" t="n">
        <v>2</v>
      </c>
      <c r="R195" s="32" t="s">
        <v>53</v>
      </c>
      <c r="S195" s="32"/>
      <c r="T195" s="35"/>
    </row>
    <row r="196" customFormat="false" ht="103.5" hidden="false" customHeight="true" outlineLevel="0" collapsed="false">
      <c r="A196" s="27" t="s">
        <v>1443</v>
      </c>
      <c r="B196" s="28" t="s">
        <v>1109</v>
      </c>
      <c r="C196" s="32" t="s">
        <v>63</v>
      </c>
      <c r="D196" s="28" t="n">
        <v>2</v>
      </c>
      <c r="E196" s="28" t="n">
        <v>3</v>
      </c>
      <c r="F196" s="28" t="n">
        <v>7</v>
      </c>
      <c r="G196" s="30" t="s">
        <v>1444</v>
      </c>
      <c r="H196" s="27" t="s">
        <v>1052</v>
      </c>
      <c r="I196" s="27" t="s">
        <v>1053</v>
      </c>
      <c r="J196" s="31" t="s">
        <v>1445</v>
      </c>
      <c r="K196" s="31" t="s">
        <v>1446</v>
      </c>
      <c r="L196" s="27" t="s">
        <v>1447</v>
      </c>
      <c r="M196" s="27" t="s">
        <v>602</v>
      </c>
      <c r="N196" s="27" t="s">
        <v>190</v>
      </c>
      <c r="O196" s="27" t="s">
        <v>1448</v>
      </c>
      <c r="P196" s="27" t="s">
        <v>612</v>
      </c>
      <c r="Q196" s="28" t="n">
        <v>2</v>
      </c>
      <c r="R196" s="32" t="s">
        <v>53</v>
      </c>
      <c r="S196" s="32"/>
      <c r="T196" s="35"/>
    </row>
    <row r="197" customFormat="false" ht="103.5" hidden="false" customHeight="true" outlineLevel="0" collapsed="false">
      <c r="A197" s="27" t="s">
        <v>1449</v>
      </c>
      <c r="B197" s="28" t="s">
        <v>1109</v>
      </c>
      <c r="C197" s="32" t="s">
        <v>63</v>
      </c>
      <c r="D197" s="28" t="n">
        <v>2</v>
      </c>
      <c r="E197" s="28" t="n">
        <v>4</v>
      </c>
      <c r="F197" s="28" t="n">
        <v>8</v>
      </c>
      <c r="G197" s="30" t="s">
        <v>1450</v>
      </c>
      <c r="H197" s="27" t="s">
        <v>1451</v>
      </c>
      <c r="I197" s="27" t="s">
        <v>1452</v>
      </c>
      <c r="J197" s="31" t="s">
        <v>635</v>
      </c>
      <c r="K197" s="31" t="s">
        <v>1453</v>
      </c>
      <c r="L197" s="27" t="s">
        <v>1454</v>
      </c>
      <c r="M197" s="27" t="s">
        <v>602</v>
      </c>
      <c r="N197" s="27" t="s">
        <v>1238</v>
      </c>
      <c r="O197" s="27" t="s">
        <v>1455</v>
      </c>
      <c r="P197" s="27" t="s">
        <v>612</v>
      </c>
      <c r="Q197" s="28" t="n">
        <v>2</v>
      </c>
      <c r="R197" s="32" t="s">
        <v>53</v>
      </c>
      <c r="S197" s="32"/>
      <c r="T197" s="35"/>
    </row>
    <row r="198" customFormat="false" ht="103.5" hidden="false" customHeight="true" outlineLevel="0" collapsed="false">
      <c r="A198" s="27" t="s">
        <v>1456</v>
      </c>
      <c r="B198" s="28" t="s">
        <v>1109</v>
      </c>
      <c r="C198" s="32" t="s">
        <v>63</v>
      </c>
      <c r="D198" s="28" t="n">
        <v>3</v>
      </c>
      <c r="E198" s="28" t="n">
        <v>1</v>
      </c>
      <c r="F198" s="28" t="n">
        <v>9</v>
      </c>
      <c r="G198" s="30" t="s">
        <v>1457</v>
      </c>
      <c r="H198" s="27" t="s">
        <v>1458</v>
      </c>
      <c r="I198" s="27" t="s">
        <v>1459</v>
      </c>
      <c r="J198" s="31" t="s">
        <v>1460</v>
      </c>
      <c r="K198" s="31" t="s">
        <v>1461</v>
      </c>
      <c r="L198" s="27" t="s">
        <v>1462</v>
      </c>
      <c r="M198" s="27" t="s">
        <v>646</v>
      </c>
      <c r="N198" s="27" t="s">
        <v>666</v>
      </c>
      <c r="O198" s="27"/>
      <c r="P198" s="27" t="s">
        <v>648</v>
      </c>
      <c r="Q198" s="28" t="n">
        <v>3</v>
      </c>
      <c r="R198" s="32" t="s">
        <v>53</v>
      </c>
      <c r="S198" s="32"/>
      <c r="T198" s="35"/>
    </row>
    <row r="199" customFormat="false" ht="103.5" hidden="false" customHeight="true" outlineLevel="0" collapsed="false">
      <c r="A199" s="27" t="s">
        <v>1463</v>
      </c>
      <c r="B199" s="28" t="s">
        <v>1109</v>
      </c>
      <c r="C199" s="32" t="s">
        <v>63</v>
      </c>
      <c r="D199" s="28" t="n">
        <v>3</v>
      </c>
      <c r="E199" s="28" t="n">
        <v>2</v>
      </c>
      <c r="F199" s="28" t="n">
        <v>10</v>
      </c>
      <c r="G199" s="30" t="s">
        <v>1464</v>
      </c>
      <c r="H199" s="27" t="s">
        <v>651</v>
      </c>
      <c r="I199" s="27" t="s">
        <v>652</v>
      </c>
      <c r="J199" s="31" t="s">
        <v>1065</v>
      </c>
      <c r="K199" s="31" t="s">
        <v>1465</v>
      </c>
      <c r="L199" s="27" t="s">
        <v>1466</v>
      </c>
      <c r="M199" s="27" t="s">
        <v>646</v>
      </c>
      <c r="N199" s="27" t="s">
        <v>420</v>
      </c>
      <c r="O199" s="27" t="s">
        <v>1467</v>
      </c>
      <c r="P199" s="27" t="s">
        <v>648</v>
      </c>
      <c r="Q199" s="28" t="n">
        <v>3</v>
      </c>
      <c r="R199" s="32" t="s">
        <v>53</v>
      </c>
      <c r="S199" s="32"/>
      <c r="T199" s="35"/>
    </row>
    <row r="200" customFormat="false" ht="103.5" hidden="false" customHeight="true" outlineLevel="0" collapsed="false">
      <c r="A200" s="27" t="s">
        <v>1468</v>
      </c>
      <c r="B200" s="28" t="s">
        <v>1109</v>
      </c>
      <c r="C200" s="32" t="s">
        <v>63</v>
      </c>
      <c r="D200" s="28" t="n">
        <v>3</v>
      </c>
      <c r="E200" s="28" t="n">
        <v>3</v>
      </c>
      <c r="F200" s="28" t="n">
        <v>11</v>
      </c>
      <c r="G200" s="30" t="s">
        <v>1469</v>
      </c>
      <c r="H200" s="27" t="s">
        <v>1470</v>
      </c>
      <c r="I200" s="27" t="s">
        <v>1471</v>
      </c>
      <c r="J200" s="31" t="s">
        <v>1472</v>
      </c>
      <c r="K200" s="31" t="s">
        <v>1473</v>
      </c>
      <c r="L200" s="27" t="s">
        <v>1474</v>
      </c>
      <c r="M200" s="27" t="s">
        <v>646</v>
      </c>
      <c r="N200" s="27" t="s">
        <v>179</v>
      </c>
      <c r="O200" s="27" t="s">
        <v>1475</v>
      </c>
      <c r="P200" s="27" t="s">
        <v>648</v>
      </c>
      <c r="Q200" s="28" t="n">
        <v>3</v>
      </c>
      <c r="R200" s="32" t="s">
        <v>53</v>
      </c>
      <c r="S200" s="32"/>
      <c r="T200" s="35"/>
    </row>
    <row r="201" customFormat="false" ht="103.5" hidden="false" customHeight="true" outlineLevel="0" collapsed="false">
      <c r="A201" s="27" t="s">
        <v>1476</v>
      </c>
      <c r="B201" s="28" t="s">
        <v>1109</v>
      </c>
      <c r="C201" s="32" t="s">
        <v>63</v>
      </c>
      <c r="D201" s="28" t="n">
        <v>3</v>
      </c>
      <c r="E201" s="28" t="n">
        <v>4</v>
      </c>
      <c r="F201" s="28" t="n">
        <v>12</v>
      </c>
      <c r="G201" s="30" t="s">
        <v>1477</v>
      </c>
      <c r="H201" s="27" t="s">
        <v>1076</v>
      </c>
      <c r="I201" s="27" t="s">
        <v>1077</v>
      </c>
      <c r="J201" s="31" t="s">
        <v>672</v>
      </c>
      <c r="K201" s="31" t="s">
        <v>1478</v>
      </c>
      <c r="L201" s="27" t="s">
        <v>1479</v>
      </c>
      <c r="M201" s="27" t="s">
        <v>646</v>
      </c>
      <c r="N201" s="27" t="s">
        <v>208</v>
      </c>
      <c r="O201" s="27" t="s">
        <v>1480</v>
      </c>
      <c r="P201" s="27" t="s">
        <v>648</v>
      </c>
      <c r="Q201" s="28" t="n">
        <v>3</v>
      </c>
      <c r="R201" s="32" t="s">
        <v>53</v>
      </c>
      <c r="S201" s="32"/>
      <c r="T201" s="35"/>
    </row>
    <row r="202" customFormat="false" ht="103.5" hidden="false" customHeight="true" outlineLevel="0" collapsed="false">
      <c r="A202" s="27" t="s">
        <v>1481</v>
      </c>
      <c r="B202" s="28" t="s">
        <v>1109</v>
      </c>
      <c r="C202" s="32" t="s">
        <v>63</v>
      </c>
      <c r="D202" s="28" t="n">
        <v>4</v>
      </c>
      <c r="E202" s="28" t="n">
        <v>1</v>
      </c>
      <c r="F202" s="28" t="n">
        <v>13</v>
      </c>
      <c r="G202" s="30" t="s">
        <v>1482</v>
      </c>
      <c r="H202" s="27" t="s">
        <v>1483</v>
      </c>
      <c r="I202" s="27" t="s">
        <v>1484</v>
      </c>
      <c r="J202" s="31" t="s">
        <v>1485</v>
      </c>
      <c r="K202" s="31" t="s">
        <v>1486</v>
      </c>
      <c r="L202" s="27" t="s">
        <v>1487</v>
      </c>
      <c r="M202" s="27" t="s">
        <v>646</v>
      </c>
      <c r="N202" s="27" t="s">
        <v>683</v>
      </c>
      <c r="O202" s="27"/>
      <c r="P202" s="27" t="s">
        <v>648</v>
      </c>
      <c r="Q202" s="28" t="n">
        <v>3</v>
      </c>
      <c r="R202" s="32" t="s">
        <v>53</v>
      </c>
      <c r="S202" s="32"/>
      <c r="T202" s="35"/>
    </row>
    <row r="203" customFormat="false" ht="103.5" hidden="false" customHeight="true" outlineLevel="0" collapsed="false">
      <c r="A203" s="27" t="s">
        <v>1488</v>
      </c>
      <c r="B203" s="28" t="s">
        <v>1109</v>
      </c>
      <c r="C203" s="32" t="s">
        <v>63</v>
      </c>
      <c r="D203" s="28" t="n">
        <v>4</v>
      </c>
      <c r="E203" s="28" t="n">
        <v>2</v>
      </c>
      <c r="F203" s="28" t="n">
        <v>14</v>
      </c>
      <c r="G203" s="30" t="s">
        <v>1489</v>
      </c>
      <c r="H203" s="27" t="s">
        <v>1490</v>
      </c>
      <c r="I203" s="27" t="s">
        <v>1491</v>
      </c>
      <c r="J203" s="31" t="s">
        <v>1492</v>
      </c>
      <c r="K203" s="31" t="s">
        <v>1493</v>
      </c>
      <c r="L203" s="27" t="s">
        <v>1494</v>
      </c>
      <c r="M203" s="27" t="s">
        <v>1495</v>
      </c>
      <c r="N203" s="27" t="s">
        <v>466</v>
      </c>
      <c r="O203" s="27" t="s">
        <v>1496</v>
      </c>
      <c r="P203" s="27" t="s">
        <v>648</v>
      </c>
      <c r="Q203" s="28" t="n">
        <v>3</v>
      </c>
      <c r="R203" s="32" t="s">
        <v>53</v>
      </c>
      <c r="S203" s="32"/>
      <c r="T203" s="35"/>
    </row>
    <row r="204" customFormat="false" ht="103.5" hidden="false" customHeight="true" outlineLevel="0" collapsed="false">
      <c r="A204" s="27" t="s">
        <v>1497</v>
      </c>
      <c r="B204" s="28" t="s">
        <v>1109</v>
      </c>
      <c r="C204" s="32" t="s">
        <v>63</v>
      </c>
      <c r="D204" s="28" t="n">
        <v>4</v>
      </c>
      <c r="E204" s="28" t="n">
        <v>3</v>
      </c>
      <c r="F204" s="28" t="n">
        <v>15</v>
      </c>
      <c r="G204" s="30" t="s">
        <v>1498</v>
      </c>
      <c r="H204" s="27" t="s">
        <v>1499</v>
      </c>
      <c r="I204" s="27" t="s">
        <v>1500</v>
      </c>
      <c r="J204" s="31" t="s">
        <v>697</v>
      </c>
      <c r="K204" s="31" t="s">
        <v>1501</v>
      </c>
      <c r="L204" s="27" t="s">
        <v>1502</v>
      </c>
      <c r="M204" s="27" t="s">
        <v>646</v>
      </c>
      <c r="N204" s="27" t="s">
        <v>675</v>
      </c>
      <c r="O204" s="27" t="s">
        <v>1503</v>
      </c>
      <c r="P204" s="27" t="s">
        <v>648</v>
      </c>
      <c r="Q204" s="28" t="n">
        <v>3</v>
      </c>
      <c r="R204" s="32" t="s">
        <v>53</v>
      </c>
      <c r="S204" s="32"/>
      <c r="T204" s="35"/>
    </row>
    <row r="205" customFormat="false" ht="103.5" hidden="false" customHeight="true" outlineLevel="0" collapsed="false">
      <c r="A205" s="27" t="s">
        <v>1504</v>
      </c>
      <c r="B205" s="28" t="s">
        <v>1109</v>
      </c>
      <c r="C205" s="32" t="s">
        <v>63</v>
      </c>
      <c r="D205" s="28" t="n">
        <v>4</v>
      </c>
      <c r="E205" s="28" t="n">
        <v>4</v>
      </c>
      <c r="F205" s="28" t="n">
        <v>16</v>
      </c>
      <c r="G205" s="30" t="s">
        <v>1505</v>
      </c>
      <c r="H205" s="27" t="s">
        <v>1506</v>
      </c>
      <c r="I205" s="27" t="s">
        <v>1507</v>
      </c>
      <c r="J205" s="31" t="s">
        <v>1508</v>
      </c>
      <c r="K205" s="31" t="s">
        <v>1509</v>
      </c>
      <c r="L205" s="27" t="s">
        <v>1510</v>
      </c>
      <c r="M205" s="27" t="s">
        <v>646</v>
      </c>
      <c r="N205" s="27" t="s">
        <v>208</v>
      </c>
      <c r="O205" s="27" t="s">
        <v>1511</v>
      </c>
      <c r="P205" s="27" t="s">
        <v>648</v>
      </c>
      <c r="Q205" s="28" t="n">
        <v>3</v>
      </c>
      <c r="R205" s="32" t="s">
        <v>53</v>
      </c>
      <c r="S205" s="32"/>
      <c r="T205" s="35"/>
    </row>
    <row r="207" customFormat="false" ht="15" hidden="false" customHeight="false" outlineLevel="0" collapsed="false">
      <c r="A207" s="15" t="s">
        <v>1512</v>
      </c>
    </row>
    <row r="208" customFormat="false" ht="15" hidden="false" customHeight="false" outlineLevel="0" collapsed="false">
      <c r="A208" s="15" t="s">
        <v>1513</v>
      </c>
    </row>
  </sheetData>
  <autoFilter ref="A1:T205"/>
  <conditionalFormatting sqref="R2:R205">
    <cfRule type="cellIs" priority="2" operator="equal" aboveAverage="0" equalAverage="0" bottom="0" percent="0" rank="0" text="" dxfId="9">
      <formula>"완료"</formula>
    </cfRule>
    <cfRule type="cellIs" priority="3" operator="equal" aboveAverage="0" equalAverage="0" bottom="0" percent="0" rank="0" text="" dxfId="10">
      <formula>"제작중"</formula>
    </cfRule>
    <cfRule type="cellIs" priority="4" operator="equal" aboveAverage="0" equalAverage="0" bottom="0" percent="0" rank="0" text="" dxfId="11">
      <formula>"확인 필요"</formula>
    </cfRule>
  </conditionalFormatting>
  <dataValidations count="1">
    <dataValidation allowBlank="true" errorStyle="stop" operator="between" showDropDown="false" showErrorMessage="false" showInputMessage="false" sqref="R2:R205" type="list">
      <formula1>"예정,제작중,검수중,완료,확인 필요"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36"/>
    <col collapsed="false" customWidth="true" hidden="false" outlineLevel="0" max="9" min="9" style="0" width="50"/>
    <col collapsed="false" customWidth="true" hidden="false" outlineLevel="0" max="10" min="10" style="0" width="60"/>
    <col collapsed="false" customWidth="true" hidden="false" outlineLevel="0" max="11" min="11" style="0" width="44"/>
  </cols>
  <sheetData>
    <row r="1" customFormat="false" ht="26.85" hidden="false" customHeight="false" outlineLevel="0" collapsed="false">
      <c r="A1" s="10" t="s">
        <v>25</v>
      </c>
      <c r="B1" s="10" t="s">
        <v>50</v>
      </c>
      <c r="C1" s="10" t="s">
        <v>76</v>
      </c>
      <c r="D1" s="10" t="s">
        <v>1514</v>
      </c>
      <c r="E1" s="10" t="s">
        <v>1515</v>
      </c>
      <c r="F1" s="10" t="s">
        <v>1516</v>
      </c>
      <c r="G1" s="10" t="s">
        <v>75</v>
      </c>
      <c r="H1" s="10" t="s">
        <v>81</v>
      </c>
      <c r="I1" s="10" t="s">
        <v>1517</v>
      </c>
      <c r="J1" s="10" t="s">
        <v>1518</v>
      </c>
      <c r="K1" s="10" t="s">
        <v>1519</v>
      </c>
    </row>
    <row r="2" customFormat="false" ht="39" hidden="false" customHeight="true" outlineLevel="0" collapsed="false">
      <c r="A2" s="28" t="s">
        <v>94</v>
      </c>
      <c r="B2" s="29" t="s">
        <v>60</v>
      </c>
      <c r="C2" s="28" t="n">
        <v>1</v>
      </c>
      <c r="D2" s="28" t="n">
        <v>1</v>
      </c>
      <c r="E2" s="28" t="n">
        <v>1</v>
      </c>
      <c r="F2" s="38" t="s">
        <v>1520</v>
      </c>
      <c r="G2" s="28" t="s">
        <v>93</v>
      </c>
      <c r="H2" s="27" t="s">
        <v>97</v>
      </c>
      <c r="I2" s="27" t="s">
        <v>1521</v>
      </c>
      <c r="J2" s="31" t="s">
        <v>1522</v>
      </c>
      <c r="K2" s="27" t="s">
        <v>1523</v>
      </c>
    </row>
    <row r="3" customFormat="false" ht="39" hidden="false" customHeight="true" outlineLevel="0" collapsed="false">
      <c r="A3" s="28" t="s">
        <v>94</v>
      </c>
      <c r="B3" s="29" t="s">
        <v>60</v>
      </c>
      <c r="C3" s="28" t="n">
        <v>1</v>
      </c>
      <c r="D3" s="28" t="n">
        <v>1</v>
      </c>
      <c r="E3" s="28" t="n">
        <v>2</v>
      </c>
      <c r="F3" s="38" t="s">
        <v>1524</v>
      </c>
      <c r="G3" s="28" t="s">
        <v>93</v>
      </c>
      <c r="H3" s="27" t="s">
        <v>97</v>
      </c>
      <c r="I3" s="27" t="s">
        <v>1525</v>
      </c>
      <c r="J3" s="31" t="s">
        <v>1526</v>
      </c>
      <c r="K3" s="27" t="s">
        <v>1527</v>
      </c>
    </row>
    <row r="4" customFormat="false" ht="39" hidden="false" customHeight="true" outlineLevel="0" collapsed="false">
      <c r="A4" s="28" t="s">
        <v>94</v>
      </c>
      <c r="B4" s="29" t="s">
        <v>60</v>
      </c>
      <c r="C4" s="28" t="n">
        <v>1</v>
      </c>
      <c r="D4" s="28" t="n">
        <v>1</v>
      </c>
      <c r="E4" s="28" t="n">
        <v>3</v>
      </c>
      <c r="F4" s="38" t="s">
        <v>1528</v>
      </c>
      <c r="G4" s="28" t="s">
        <v>93</v>
      </c>
      <c r="H4" s="27" t="s">
        <v>97</v>
      </c>
      <c r="I4" s="27" t="s">
        <v>1529</v>
      </c>
      <c r="J4" s="31" t="s">
        <v>1530</v>
      </c>
      <c r="K4" s="27" t="s">
        <v>1531</v>
      </c>
    </row>
    <row r="5" customFormat="false" ht="39" hidden="false" customHeight="true" outlineLevel="0" collapsed="false">
      <c r="A5" s="28" t="s">
        <v>94</v>
      </c>
      <c r="B5" s="29" t="s">
        <v>60</v>
      </c>
      <c r="C5" s="28" t="n">
        <v>1</v>
      </c>
      <c r="D5" s="28" t="n">
        <v>2</v>
      </c>
      <c r="E5" s="28" t="n">
        <v>1</v>
      </c>
      <c r="F5" s="38" t="s">
        <v>1532</v>
      </c>
      <c r="G5" s="28" t="s">
        <v>105</v>
      </c>
      <c r="H5" s="27" t="s">
        <v>108</v>
      </c>
      <c r="I5" s="27" t="s">
        <v>1533</v>
      </c>
      <c r="J5" s="27" t="s">
        <v>1534</v>
      </c>
      <c r="K5" s="27" t="s">
        <v>1535</v>
      </c>
    </row>
    <row r="6" customFormat="false" ht="39" hidden="false" customHeight="true" outlineLevel="0" collapsed="false">
      <c r="A6" s="28" t="s">
        <v>94</v>
      </c>
      <c r="B6" s="29" t="s">
        <v>60</v>
      </c>
      <c r="C6" s="28" t="n">
        <v>1</v>
      </c>
      <c r="D6" s="28" t="n">
        <v>2</v>
      </c>
      <c r="E6" s="28" t="n">
        <v>2</v>
      </c>
      <c r="F6" s="38" t="s">
        <v>1536</v>
      </c>
      <c r="G6" s="28" t="s">
        <v>105</v>
      </c>
      <c r="H6" s="27" t="s">
        <v>108</v>
      </c>
      <c r="I6" s="27" t="s">
        <v>1537</v>
      </c>
      <c r="J6" s="27" t="s">
        <v>1538</v>
      </c>
      <c r="K6" s="27" t="s">
        <v>1535</v>
      </c>
    </row>
    <row r="7" customFormat="false" ht="30" hidden="false" customHeight="true" outlineLevel="0" collapsed="false">
      <c r="A7" s="28" t="s">
        <v>94</v>
      </c>
      <c r="B7" s="29" t="s">
        <v>60</v>
      </c>
      <c r="C7" s="28" t="n">
        <v>1</v>
      </c>
      <c r="D7" s="28" t="n">
        <v>3</v>
      </c>
      <c r="E7" s="28" t="n">
        <v>1</v>
      </c>
      <c r="F7" s="38" t="s">
        <v>1539</v>
      </c>
      <c r="G7" s="28" t="s">
        <v>114</v>
      </c>
      <c r="H7" s="27" t="s">
        <v>117</v>
      </c>
      <c r="I7" s="27" t="s">
        <v>1540</v>
      </c>
      <c r="J7" s="27" t="s">
        <v>1541</v>
      </c>
      <c r="K7" s="27" t="s">
        <v>1542</v>
      </c>
    </row>
    <row r="8" customFormat="false" ht="30" hidden="false" customHeight="true" outlineLevel="0" collapsed="false">
      <c r="A8" s="28" t="s">
        <v>94</v>
      </c>
      <c r="B8" s="29" t="s">
        <v>60</v>
      </c>
      <c r="C8" s="28" t="n">
        <v>1</v>
      </c>
      <c r="D8" s="28" t="n">
        <v>3</v>
      </c>
      <c r="E8" s="28" t="n">
        <v>2</v>
      </c>
      <c r="F8" s="38" t="s">
        <v>1543</v>
      </c>
      <c r="G8" s="28" t="s">
        <v>114</v>
      </c>
      <c r="H8" s="27" t="s">
        <v>117</v>
      </c>
      <c r="I8" s="27" t="s">
        <v>1544</v>
      </c>
      <c r="J8" s="27" t="s">
        <v>1545</v>
      </c>
      <c r="K8" s="27" t="s">
        <v>1546</v>
      </c>
    </row>
    <row r="9" customFormat="false" ht="30" hidden="false" customHeight="true" outlineLevel="0" collapsed="false">
      <c r="A9" s="28" t="s">
        <v>94</v>
      </c>
      <c r="B9" s="29" t="s">
        <v>60</v>
      </c>
      <c r="C9" s="28" t="n">
        <v>1</v>
      </c>
      <c r="D9" s="28" t="n">
        <v>3</v>
      </c>
      <c r="E9" s="28" t="n">
        <v>3</v>
      </c>
      <c r="F9" s="38" t="s">
        <v>1547</v>
      </c>
      <c r="G9" s="28" t="s">
        <v>114</v>
      </c>
      <c r="H9" s="27" t="s">
        <v>117</v>
      </c>
      <c r="I9" s="27" t="s">
        <v>1548</v>
      </c>
      <c r="J9" s="27" t="s">
        <v>1549</v>
      </c>
      <c r="K9" s="27" t="s">
        <v>1550</v>
      </c>
    </row>
    <row r="10" customFormat="false" ht="30" hidden="false" customHeight="true" outlineLevel="0" collapsed="false">
      <c r="A10" s="28" t="s">
        <v>94</v>
      </c>
      <c r="B10" s="29" t="s">
        <v>60</v>
      </c>
      <c r="C10" s="28" t="n">
        <v>1</v>
      </c>
      <c r="D10" s="28" t="n">
        <v>4</v>
      </c>
      <c r="E10" s="28" t="n">
        <v>1</v>
      </c>
      <c r="F10" s="38" t="s">
        <v>723</v>
      </c>
      <c r="G10" s="28" t="s">
        <v>124</v>
      </c>
      <c r="H10" s="27" t="s">
        <v>127</v>
      </c>
      <c r="I10" s="27" t="s">
        <v>1551</v>
      </c>
      <c r="J10" s="27" t="s">
        <v>1552</v>
      </c>
      <c r="K10" s="27" t="s">
        <v>1553</v>
      </c>
    </row>
    <row r="11" customFormat="false" ht="30" hidden="false" customHeight="true" outlineLevel="0" collapsed="false">
      <c r="A11" s="28" t="s">
        <v>94</v>
      </c>
      <c r="B11" s="29" t="s">
        <v>60</v>
      </c>
      <c r="C11" s="28" t="n">
        <v>1</v>
      </c>
      <c r="D11" s="28" t="n">
        <v>4</v>
      </c>
      <c r="E11" s="28" t="n">
        <v>2</v>
      </c>
      <c r="F11" s="38" t="s">
        <v>1554</v>
      </c>
      <c r="G11" s="28" t="s">
        <v>124</v>
      </c>
      <c r="H11" s="27" t="s">
        <v>127</v>
      </c>
      <c r="I11" s="27" t="s">
        <v>1555</v>
      </c>
      <c r="J11" s="27" t="s">
        <v>1556</v>
      </c>
      <c r="K11" s="27" t="s">
        <v>1557</v>
      </c>
    </row>
    <row r="12" customFormat="false" ht="51.75" hidden="false" customHeight="true" outlineLevel="0" collapsed="false">
      <c r="A12" s="28" t="s">
        <v>94</v>
      </c>
      <c r="B12" s="29" t="s">
        <v>60</v>
      </c>
      <c r="C12" s="28" t="n">
        <v>2</v>
      </c>
      <c r="D12" s="28" t="n">
        <v>1</v>
      </c>
      <c r="E12" s="28" t="n">
        <v>1</v>
      </c>
      <c r="F12" s="38" t="s">
        <v>1558</v>
      </c>
      <c r="G12" s="28" t="s">
        <v>133</v>
      </c>
      <c r="H12" s="27" t="s">
        <v>136</v>
      </c>
      <c r="I12" s="27" t="s">
        <v>1559</v>
      </c>
      <c r="J12" s="27" t="s">
        <v>1560</v>
      </c>
      <c r="K12" s="31" t="s">
        <v>1561</v>
      </c>
    </row>
    <row r="13" customFormat="false" ht="103.5" hidden="false" customHeight="true" outlineLevel="0" collapsed="false">
      <c r="A13" s="28" t="s">
        <v>94</v>
      </c>
      <c r="B13" s="29" t="s">
        <v>60</v>
      </c>
      <c r="C13" s="28" t="n">
        <v>2</v>
      </c>
      <c r="D13" s="28" t="n">
        <v>1</v>
      </c>
      <c r="E13" s="28" t="n">
        <v>2</v>
      </c>
      <c r="F13" s="38" t="s">
        <v>1562</v>
      </c>
      <c r="G13" s="28" t="s">
        <v>133</v>
      </c>
      <c r="H13" s="27" t="s">
        <v>136</v>
      </c>
      <c r="I13" s="27" t="s">
        <v>1563</v>
      </c>
      <c r="J13" s="27" t="s">
        <v>1564</v>
      </c>
      <c r="K13" s="27" t="s">
        <v>1565</v>
      </c>
    </row>
    <row r="14" customFormat="false" ht="51.75" hidden="false" customHeight="true" outlineLevel="0" collapsed="false">
      <c r="A14" s="28" t="s">
        <v>94</v>
      </c>
      <c r="B14" s="29" t="s">
        <v>60</v>
      </c>
      <c r="C14" s="28" t="n">
        <v>2</v>
      </c>
      <c r="D14" s="28" t="n">
        <v>1</v>
      </c>
      <c r="E14" s="28" t="n">
        <v>3</v>
      </c>
      <c r="F14" s="38" t="s">
        <v>1566</v>
      </c>
      <c r="G14" s="28" t="s">
        <v>133</v>
      </c>
      <c r="H14" s="27" t="s">
        <v>136</v>
      </c>
      <c r="I14" s="27" t="s">
        <v>1567</v>
      </c>
      <c r="J14" s="27" t="s">
        <v>1568</v>
      </c>
      <c r="K14" s="27" t="s">
        <v>1569</v>
      </c>
    </row>
    <row r="15" customFormat="false" ht="39" hidden="false" customHeight="true" outlineLevel="0" collapsed="false">
      <c r="A15" s="28" t="s">
        <v>94</v>
      </c>
      <c r="B15" s="29" t="s">
        <v>60</v>
      </c>
      <c r="C15" s="28" t="n">
        <v>2</v>
      </c>
      <c r="D15" s="28" t="n">
        <v>2</v>
      </c>
      <c r="E15" s="28" t="n">
        <v>1</v>
      </c>
      <c r="F15" s="38" t="s">
        <v>147</v>
      </c>
      <c r="G15" s="28" t="s">
        <v>143</v>
      </c>
      <c r="H15" s="27" t="s">
        <v>146</v>
      </c>
      <c r="I15" s="27" t="s">
        <v>1570</v>
      </c>
      <c r="J15" s="27" t="s">
        <v>1571</v>
      </c>
      <c r="K15" s="27" t="s">
        <v>1572</v>
      </c>
    </row>
    <row r="16" customFormat="false" ht="39" hidden="false" customHeight="true" outlineLevel="0" collapsed="false">
      <c r="A16" s="28" t="s">
        <v>94</v>
      </c>
      <c r="B16" s="29" t="s">
        <v>60</v>
      </c>
      <c r="C16" s="28" t="n">
        <v>2</v>
      </c>
      <c r="D16" s="28" t="n">
        <v>3</v>
      </c>
      <c r="E16" s="28" t="n">
        <v>1</v>
      </c>
      <c r="F16" s="38" t="s">
        <v>1573</v>
      </c>
      <c r="G16" s="28" t="s">
        <v>154</v>
      </c>
      <c r="H16" s="27" t="s">
        <v>157</v>
      </c>
      <c r="I16" s="27" t="s">
        <v>1574</v>
      </c>
      <c r="J16" s="27" t="s">
        <v>1575</v>
      </c>
      <c r="K16" s="27" t="s">
        <v>1576</v>
      </c>
    </row>
    <row r="17" customFormat="false" ht="39" hidden="false" customHeight="true" outlineLevel="0" collapsed="false">
      <c r="A17" s="28" t="s">
        <v>94</v>
      </c>
      <c r="B17" s="29" t="s">
        <v>60</v>
      </c>
      <c r="C17" s="28" t="n">
        <v>2</v>
      </c>
      <c r="D17" s="28" t="n">
        <v>3</v>
      </c>
      <c r="E17" s="28" t="n">
        <v>2</v>
      </c>
      <c r="F17" s="38" t="s">
        <v>1577</v>
      </c>
      <c r="G17" s="28" t="s">
        <v>154</v>
      </c>
      <c r="H17" s="27" t="s">
        <v>157</v>
      </c>
      <c r="I17" s="27" t="s">
        <v>1578</v>
      </c>
      <c r="J17" s="31" t="s">
        <v>1579</v>
      </c>
      <c r="K17" s="27" t="s">
        <v>1580</v>
      </c>
    </row>
    <row r="18" customFormat="false" ht="51.75" hidden="false" customHeight="true" outlineLevel="0" collapsed="false">
      <c r="A18" s="28" t="s">
        <v>94</v>
      </c>
      <c r="B18" s="29" t="s">
        <v>60</v>
      </c>
      <c r="C18" s="28" t="n">
        <v>2</v>
      </c>
      <c r="D18" s="28" t="n">
        <v>4</v>
      </c>
      <c r="E18" s="28" t="n">
        <v>1</v>
      </c>
      <c r="F18" s="38" t="s">
        <v>1581</v>
      </c>
      <c r="G18" s="28" t="s">
        <v>162</v>
      </c>
      <c r="H18" s="27" t="s">
        <v>165</v>
      </c>
      <c r="I18" s="27" t="s">
        <v>1582</v>
      </c>
      <c r="J18" s="31" t="s">
        <v>1583</v>
      </c>
      <c r="K18" s="27" t="s">
        <v>1584</v>
      </c>
    </row>
    <row r="19" customFormat="false" ht="39" hidden="false" customHeight="true" outlineLevel="0" collapsed="false">
      <c r="A19" s="28" t="s">
        <v>94</v>
      </c>
      <c r="B19" s="29" t="s">
        <v>60</v>
      </c>
      <c r="C19" s="28" t="n">
        <v>2</v>
      </c>
      <c r="D19" s="28" t="n">
        <v>4</v>
      </c>
      <c r="E19" s="28" t="n">
        <v>2</v>
      </c>
      <c r="F19" s="38" t="s">
        <v>1585</v>
      </c>
      <c r="G19" s="28" t="s">
        <v>162</v>
      </c>
      <c r="H19" s="27" t="s">
        <v>165</v>
      </c>
      <c r="I19" s="27" t="s">
        <v>1586</v>
      </c>
      <c r="J19" s="31" t="s">
        <v>1587</v>
      </c>
      <c r="K19" s="27" t="s">
        <v>1588</v>
      </c>
    </row>
    <row r="20" customFormat="false" ht="30" hidden="false" customHeight="true" outlineLevel="0" collapsed="false">
      <c r="A20" s="28" t="s">
        <v>94</v>
      </c>
      <c r="B20" s="29" t="s">
        <v>60</v>
      </c>
      <c r="C20" s="28" t="n">
        <v>2</v>
      </c>
      <c r="D20" s="28" t="n">
        <v>4</v>
      </c>
      <c r="E20" s="28" t="n">
        <v>3</v>
      </c>
      <c r="F20" s="38" t="s">
        <v>1589</v>
      </c>
      <c r="G20" s="28" t="s">
        <v>162</v>
      </c>
      <c r="H20" s="27" t="s">
        <v>165</v>
      </c>
      <c r="I20" s="27" t="s">
        <v>1590</v>
      </c>
      <c r="J20" s="27" t="s">
        <v>1591</v>
      </c>
      <c r="K20" s="27" t="s">
        <v>1592</v>
      </c>
    </row>
    <row r="21" customFormat="false" ht="51.75" hidden="false" customHeight="true" outlineLevel="0" collapsed="false">
      <c r="A21" s="28" t="s">
        <v>94</v>
      </c>
      <c r="B21" s="29" t="s">
        <v>60</v>
      </c>
      <c r="C21" s="28" t="n">
        <v>3</v>
      </c>
      <c r="D21" s="28" t="n">
        <v>1</v>
      </c>
      <c r="E21" s="28" t="n">
        <v>1</v>
      </c>
      <c r="F21" s="38" t="s">
        <v>1593</v>
      </c>
      <c r="G21" s="28" t="s">
        <v>172</v>
      </c>
      <c r="H21" s="27" t="s">
        <v>175</v>
      </c>
      <c r="I21" s="27" t="s">
        <v>1594</v>
      </c>
      <c r="J21" s="27" t="s">
        <v>1595</v>
      </c>
      <c r="K21" s="27" t="s">
        <v>1596</v>
      </c>
    </row>
    <row r="22" customFormat="false" ht="39" hidden="false" customHeight="true" outlineLevel="0" collapsed="false">
      <c r="A22" s="28" t="s">
        <v>94</v>
      </c>
      <c r="B22" s="29" t="s">
        <v>60</v>
      </c>
      <c r="C22" s="28" t="n">
        <v>3</v>
      </c>
      <c r="D22" s="28" t="n">
        <v>1</v>
      </c>
      <c r="E22" s="28" t="n">
        <v>2</v>
      </c>
      <c r="F22" s="38" t="s">
        <v>1597</v>
      </c>
      <c r="G22" s="28" t="s">
        <v>172</v>
      </c>
      <c r="H22" s="27" t="s">
        <v>175</v>
      </c>
      <c r="I22" s="27" t="s">
        <v>1598</v>
      </c>
      <c r="J22" s="27" t="s">
        <v>1599</v>
      </c>
      <c r="K22" s="27" t="s">
        <v>1600</v>
      </c>
    </row>
    <row r="23" customFormat="false" ht="90.75" hidden="false" customHeight="true" outlineLevel="0" collapsed="false">
      <c r="A23" s="28" t="s">
        <v>94</v>
      </c>
      <c r="B23" s="29" t="s">
        <v>60</v>
      </c>
      <c r="C23" s="28" t="n">
        <v>3</v>
      </c>
      <c r="D23" s="28" t="n">
        <v>1</v>
      </c>
      <c r="E23" s="28" t="n">
        <v>3</v>
      </c>
      <c r="F23" s="38" t="s">
        <v>1601</v>
      </c>
      <c r="G23" s="28" t="s">
        <v>172</v>
      </c>
      <c r="H23" s="27" t="s">
        <v>175</v>
      </c>
      <c r="I23" s="27" t="s">
        <v>1602</v>
      </c>
      <c r="J23" s="27" t="s">
        <v>1603</v>
      </c>
      <c r="K23" s="27" t="s">
        <v>1604</v>
      </c>
    </row>
    <row r="24" customFormat="false" ht="90.75" hidden="false" customHeight="true" outlineLevel="0" collapsed="false">
      <c r="A24" s="28" t="s">
        <v>94</v>
      </c>
      <c r="B24" s="29" t="s">
        <v>60</v>
      </c>
      <c r="C24" s="28" t="n">
        <v>3</v>
      </c>
      <c r="D24" s="28" t="n">
        <v>2</v>
      </c>
      <c r="E24" s="28" t="n">
        <v>1</v>
      </c>
      <c r="F24" s="38" t="s">
        <v>1605</v>
      </c>
      <c r="G24" s="28" t="s">
        <v>182</v>
      </c>
      <c r="H24" s="27" t="s">
        <v>185</v>
      </c>
      <c r="I24" s="27" t="s">
        <v>1606</v>
      </c>
      <c r="J24" s="27" t="s">
        <v>1607</v>
      </c>
      <c r="K24" s="27" t="s">
        <v>1608</v>
      </c>
    </row>
    <row r="25" customFormat="false" ht="103.5" hidden="false" customHeight="true" outlineLevel="0" collapsed="false">
      <c r="A25" s="28" t="s">
        <v>94</v>
      </c>
      <c r="B25" s="29" t="s">
        <v>60</v>
      </c>
      <c r="C25" s="28" t="n">
        <v>3</v>
      </c>
      <c r="D25" s="28" t="n">
        <v>2</v>
      </c>
      <c r="E25" s="28" t="n">
        <v>2</v>
      </c>
      <c r="F25" s="38" t="s">
        <v>1609</v>
      </c>
      <c r="G25" s="28" t="s">
        <v>182</v>
      </c>
      <c r="H25" s="27" t="s">
        <v>185</v>
      </c>
      <c r="I25" s="27" t="s">
        <v>1610</v>
      </c>
      <c r="J25" s="27" t="s">
        <v>1611</v>
      </c>
      <c r="K25" s="27" t="s">
        <v>1612</v>
      </c>
    </row>
    <row r="26" customFormat="false" ht="64.5" hidden="false" customHeight="true" outlineLevel="0" collapsed="false">
      <c r="A26" s="28" t="s">
        <v>94</v>
      </c>
      <c r="B26" s="29" t="s">
        <v>60</v>
      </c>
      <c r="C26" s="28" t="n">
        <v>3</v>
      </c>
      <c r="D26" s="28" t="n">
        <v>2</v>
      </c>
      <c r="E26" s="28" t="n">
        <v>3</v>
      </c>
      <c r="F26" s="38" t="s">
        <v>1613</v>
      </c>
      <c r="G26" s="28" t="s">
        <v>182</v>
      </c>
      <c r="H26" s="27" t="s">
        <v>185</v>
      </c>
      <c r="I26" s="27" t="s">
        <v>1614</v>
      </c>
      <c r="J26" s="27" t="s">
        <v>1615</v>
      </c>
      <c r="K26" s="27" t="s">
        <v>1616</v>
      </c>
    </row>
    <row r="27" customFormat="false" ht="78" hidden="false" customHeight="true" outlineLevel="0" collapsed="false">
      <c r="A27" s="28" t="s">
        <v>94</v>
      </c>
      <c r="B27" s="29" t="s">
        <v>60</v>
      </c>
      <c r="C27" s="28" t="n">
        <v>3</v>
      </c>
      <c r="D27" s="28" t="n">
        <v>3</v>
      </c>
      <c r="E27" s="28" t="n">
        <v>1</v>
      </c>
      <c r="F27" s="38" t="s">
        <v>1617</v>
      </c>
      <c r="G27" s="28" t="s">
        <v>192</v>
      </c>
      <c r="H27" s="27" t="s">
        <v>195</v>
      </c>
      <c r="I27" s="27" t="s">
        <v>1618</v>
      </c>
      <c r="J27" s="27" t="s">
        <v>1619</v>
      </c>
      <c r="K27" s="27" t="s">
        <v>1620</v>
      </c>
    </row>
    <row r="28" customFormat="false" ht="51.75" hidden="false" customHeight="true" outlineLevel="0" collapsed="false">
      <c r="A28" s="28" t="s">
        <v>94</v>
      </c>
      <c r="B28" s="29" t="s">
        <v>60</v>
      </c>
      <c r="C28" s="28" t="n">
        <v>3</v>
      </c>
      <c r="D28" s="28" t="n">
        <v>3</v>
      </c>
      <c r="E28" s="28" t="n">
        <v>2</v>
      </c>
      <c r="F28" s="38" t="s">
        <v>1621</v>
      </c>
      <c r="G28" s="28" t="s">
        <v>192</v>
      </c>
      <c r="H28" s="27" t="s">
        <v>195</v>
      </c>
      <c r="I28" s="27" t="s">
        <v>1622</v>
      </c>
      <c r="J28" s="27" t="s">
        <v>1623</v>
      </c>
      <c r="K28" s="31" t="s">
        <v>1624</v>
      </c>
    </row>
    <row r="29" customFormat="false" ht="103.5" hidden="false" customHeight="true" outlineLevel="0" collapsed="false">
      <c r="A29" s="28" t="s">
        <v>94</v>
      </c>
      <c r="B29" s="29" t="s">
        <v>60</v>
      </c>
      <c r="C29" s="28" t="n">
        <v>3</v>
      </c>
      <c r="D29" s="28" t="n">
        <v>4</v>
      </c>
      <c r="E29" s="28" t="n">
        <v>1</v>
      </c>
      <c r="F29" s="38" t="s">
        <v>1625</v>
      </c>
      <c r="G29" s="28" t="s">
        <v>201</v>
      </c>
      <c r="H29" s="27" t="s">
        <v>204</v>
      </c>
      <c r="I29" s="27" t="s">
        <v>1626</v>
      </c>
      <c r="J29" s="27" t="s">
        <v>1627</v>
      </c>
      <c r="K29" s="31" t="s">
        <v>1628</v>
      </c>
    </row>
    <row r="30" customFormat="false" ht="129.75" hidden="false" customHeight="true" outlineLevel="0" collapsed="false">
      <c r="A30" s="28" t="s">
        <v>94</v>
      </c>
      <c r="B30" s="29" t="s">
        <v>60</v>
      </c>
      <c r="C30" s="28" t="n">
        <v>3</v>
      </c>
      <c r="D30" s="28" t="n">
        <v>4</v>
      </c>
      <c r="E30" s="28" t="n">
        <v>2</v>
      </c>
      <c r="F30" s="38" t="s">
        <v>1629</v>
      </c>
      <c r="G30" s="28" t="s">
        <v>201</v>
      </c>
      <c r="H30" s="27" t="s">
        <v>204</v>
      </c>
      <c r="I30" s="27" t="s">
        <v>1630</v>
      </c>
      <c r="J30" s="27" t="s">
        <v>1631</v>
      </c>
      <c r="K30" s="31" t="s">
        <v>1632</v>
      </c>
    </row>
    <row r="31" customFormat="false" ht="117" hidden="false" customHeight="true" outlineLevel="0" collapsed="false">
      <c r="A31" s="28" t="s">
        <v>94</v>
      </c>
      <c r="B31" s="29" t="s">
        <v>60</v>
      </c>
      <c r="C31" s="28" t="n">
        <v>4</v>
      </c>
      <c r="D31" s="28" t="n">
        <v>1</v>
      </c>
      <c r="E31" s="28" t="n">
        <v>1</v>
      </c>
      <c r="F31" s="38" t="s">
        <v>1633</v>
      </c>
      <c r="G31" s="28" t="s">
        <v>210</v>
      </c>
      <c r="H31" s="27" t="s">
        <v>213</v>
      </c>
      <c r="I31" s="27" t="s">
        <v>1634</v>
      </c>
      <c r="J31" s="27" t="s">
        <v>1635</v>
      </c>
      <c r="K31" s="31" t="s">
        <v>1636</v>
      </c>
    </row>
    <row r="32" customFormat="false" ht="117" hidden="false" customHeight="true" outlineLevel="0" collapsed="false">
      <c r="A32" s="28" t="s">
        <v>94</v>
      </c>
      <c r="B32" s="29" t="s">
        <v>60</v>
      </c>
      <c r="C32" s="28" t="n">
        <v>4</v>
      </c>
      <c r="D32" s="28" t="n">
        <v>1</v>
      </c>
      <c r="E32" s="28" t="n">
        <v>2</v>
      </c>
      <c r="F32" s="38" t="s">
        <v>1637</v>
      </c>
      <c r="G32" s="28" t="s">
        <v>210</v>
      </c>
      <c r="H32" s="27" t="s">
        <v>213</v>
      </c>
      <c r="I32" s="27" t="s">
        <v>1638</v>
      </c>
      <c r="J32" s="27" t="s">
        <v>1639</v>
      </c>
      <c r="K32" s="31" t="s">
        <v>1640</v>
      </c>
    </row>
    <row r="33" customFormat="false" ht="64.5" hidden="false" customHeight="true" outlineLevel="0" collapsed="false">
      <c r="A33" s="28" t="s">
        <v>94</v>
      </c>
      <c r="B33" s="29" t="s">
        <v>60</v>
      </c>
      <c r="C33" s="28" t="n">
        <v>4</v>
      </c>
      <c r="D33" s="28" t="n">
        <v>2</v>
      </c>
      <c r="E33" s="28" t="n">
        <v>1</v>
      </c>
      <c r="F33" s="38" t="s">
        <v>1641</v>
      </c>
      <c r="G33" s="28" t="s">
        <v>219</v>
      </c>
      <c r="H33" s="27" t="s">
        <v>222</v>
      </c>
      <c r="I33" s="27" t="s">
        <v>1642</v>
      </c>
      <c r="J33" s="27" t="s">
        <v>1643</v>
      </c>
      <c r="K33" s="31" t="s">
        <v>1644</v>
      </c>
    </row>
    <row r="34" customFormat="false" ht="64.5" hidden="false" customHeight="true" outlineLevel="0" collapsed="false">
      <c r="A34" s="28" t="s">
        <v>94</v>
      </c>
      <c r="B34" s="29" t="s">
        <v>60</v>
      </c>
      <c r="C34" s="28" t="n">
        <v>4</v>
      </c>
      <c r="D34" s="28" t="n">
        <v>2</v>
      </c>
      <c r="E34" s="28" t="n">
        <v>2</v>
      </c>
      <c r="F34" s="38" t="s">
        <v>1645</v>
      </c>
      <c r="G34" s="28" t="s">
        <v>219</v>
      </c>
      <c r="H34" s="27" t="s">
        <v>222</v>
      </c>
      <c r="I34" s="27" t="s">
        <v>1646</v>
      </c>
      <c r="J34" s="27" t="s">
        <v>1647</v>
      </c>
      <c r="K34" s="27" t="s">
        <v>1648</v>
      </c>
    </row>
    <row r="35" customFormat="false" ht="51.75" hidden="false" customHeight="true" outlineLevel="0" collapsed="false">
      <c r="A35" s="28" t="s">
        <v>94</v>
      </c>
      <c r="B35" s="29" t="s">
        <v>60</v>
      </c>
      <c r="C35" s="28" t="n">
        <v>4</v>
      </c>
      <c r="D35" s="28" t="n">
        <v>2</v>
      </c>
      <c r="E35" s="28" t="n">
        <v>3</v>
      </c>
      <c r="F35" s="38" t="s">
        <v>1649</v>
      </c>
      <c r="G35" s="28" t="s">
        <v>219</v>
      </c>
      <c r="H35" s="27" t="s">
        <v>222</v>
      </c>
      <c r="I35" s="27" t="s">
        <v>1650</v>
      </c>
      <c r="J35" s="27" t="s">
        <v>1651</v>
      </c>
      <c r="K35" s="31" t="s">
        <v>1652</v>
      </c>
    </row>
    <row r="36" customFormat="false" ht="103.5" hidden="false" customHeight="true" outlineLevel="0" collapsed="false">
      <c r="A36" s="28" t="s">
        <v>94</v>
      </c>
      <c r="B36" s="29" t="s">
        <v>60</v>
      </c>
      <c r="C36" s="28" t="n">
        <v>4</v>
      </c>
      <c r="D36" s="28" t="n">
        <v>3</v>
      </c>
      <c r="E36" s="28" t="n">
        <v>1</v>
      </c>
      <c r="F36" s="38" t="s">
        <v>1653</v>
      </c>
      <c r="G36" s="28" t="s">
        <v>227</v>
      </c>
      <c r="H36" s="27" t="s">
        <v>230</v>
      </c>
      <c r="I36" s="27" t="s">
        <v>1654</v>
      </c>
      <c r="J36" s="27" t="s">
        <v>1655</v>
      </c>
      <c r="K36" s="27" t="s">
        <v>1656</v>
      </c>
    </row>
    <row r="37" customFormat="false" ht="64.5" hidden="false" customHeight="true" outlineLevel="0" collapsed="false">
      <c r="A37" s="28" t="s">
        <v>94</v>
      </c>
      <c r="B37" s="29" t="s">
        <v>60</v>
      </c>
      <c r="C37" s="28" t="n">
        <v>4</v>
      </c>
      <c r="D37" s="28" t="n">
        <v>3</v>
      </c>
      <c r="E37" s="28" t="n">
        <v>2</v>
      </c>
      <c r="F37" s="38" t="s">
        <v>1657</v>
      </c>
      <c r="G37" s="28" t="s">
        <v>227</v>
      </c>
      <c r="H37" s="27" t="s">
        <v>230</v>
      </c>
      <c r="I37" s="27" t="s">
        <v>1658</v>
      </c>
      <c r="J37" s="27" t="s">
        <v>1659</v>
      </c>
      <c r="K37" s="27" t="s">
        <v>1660</v>
      </c>
    </row>
    <row r="38" customFormat="false" ht="51.75" hidden="false" customHeight="true" outlineLevel="0" collapsed="false">
      <c r="A38" s="28" t="s">
        <v>94</v>
      </c>
      <c r="B38" s="29" t="s">
        <v>60</v>
      </c>
      <c r="C38" s="28" t="n">
        <v>4</v>
      </c>
      <c r="D38" s="28" t="n">
        <v>3</v>
      </c>
      <c r="E38" s="28" t="n">
        <v>3</v>
      </c>
      <c r="F38" s="38" t="s">
        <v>1661</v>
      </c>
      <c r="G38" s="28" t="s">
        <v>227</v>
      </c>
      <c r="H38" s="27" t="s">
        <v>230</v>
      </c>
      <c r="I38" s="27" t="s">
        <v>1662</v>
      </c>
      <c r="J38" s="27" t="s">
        <v>1663</v>
      </c>
      <c r="K38" s="31" t="s">
        <v>1664</v>
      </c>
    </row>
    <row r="39" customFormat="false" ht="90.75" hidden="false" customHeight="true" outlineLevel="0" collapsed="false">
      <c r="A39" s="28" t="s">
        <v>94</v>
      </c>
      <c r="B39" s="29" t="s">
        <v>60</v>
      </c>
      <c r="C39" s="28" t="n">
        <v>4</v>
      </c>
      <c r="D39" s="28" t="n">
        <v>4</v>
      </c>
      <c r="E39" s="28" t="n">
        <v>1</v>
      </c>
      <c r="F39" s="38" t="s">
        <v>806</v>
      </c>
      <c r="G39" s="28" t="s">
        <v>237</v>
      </c>
      <c r="H39" s="27" t="s">
        <v>240</v>
      </c>
      <c r="I39" s="27" t="s">
        <v>1665</v>
      </c>
      <c r="J39" s="27" t="s">
        <v>1666</v>
      </c>
      <c r="K39" s="27" t="s">
        <v>1667</v>
      </c>
    </row>
    <row r="40" customFormat="false" ht="159.75" hidden="false" customHeight="true" outlineLevel="0" collapsed="false">
      <c r="A40" s="28" t="s">
        <v>94</v>
      </c>
      <c r="B40" s="29" t="s">
        <v>60</v>
      </c>
      <c r="C40" s="28" t="n">
        <v>4</v>
      </c>
      <c r="D40" s="28" t="n">
        <v>4</v>
      </c>
      <c r="E40" s="28" t="n">
        <v>2</v>
      </c>
      <c r="F40" s="38" t="s">
        <v>1668</v>
      </c>
      <c r="G40" s="28" t="s">
        <v>237</v>
      </c>
      <c r="H40" s="27" t="s">
        <v>240</v>
      </c>
      <c r="I40" s="27" t="s">
        <v>1669</v>
      </c>
      <c r="J40" s="27" t="s">
        <v>1670</v>
      </c>
      <c r="K40" s="27" t="s">
        <v>1671</v>
      </c>
    </row>
    <row r="41" customFormat="false" ht="30" hidden="false" customHeight="true" outlineLevel="0" collapsed="false">
      <c r="A41" s="28" t="s">
        <v>94</v>
      </c>
      <c r="B41" s="36" t="s">
        <v>61</v>
      </c>
      <c r="C41" s="28" t="n">
        <v>1</v>
      </c>
      <c r="D41" s="28" t="n">
        <v>1</v>
      </c>
      <c r="E41" s="28" t="n">
        <v>1</v>
      </c>
      <c r="F41" s="38" t="s">
        <v>1672</v>
      </c>
      <c r="G41" s="28" t="s">
        <v>247</v>
      </c>
      <c r="H41" s="27" t="s">
        <v>250</v>
      </c>
      <c r="I41" s="27" t="s">
        <v>1673</v>
      </c>
      <c r="J41" s="31" t="s">
        <v>1674</v>
      </c>
      <c r="K41" s="31" t="s">
        <v>1675</v>
      </c>
    </row>
    <row r="42" customFormat="false" ht="30" hidden="false" customHeight="true" outlineLevel="0" collapsed="false">
      <c r="A42" s="28" t="s">
        <v>94</v>
      </c>
      <c r="B42" s="36" t="s">
        <v>61</v>
      </c>
      <c r="C42" s="28" t="n">
        <v>1</v>
      </c>
      <c r="D42" s="28" t="n">
        <v>1</v>
      </c>
      <c r="E42" s="28" t="n">
        <v>2</v>
      </c>
      <c r="F42" s="38" t="s">
        <v>1676</v>
      </c>
      <c r="G42" s="28" t="s">
        <v>247</v>
      </c>
      <c r="H42" s="27" t="s">
        <v>250</v>
      </c>
      <c r="I42" s="27" t="s">
        <v>1677</v>
      </c>
      <c r="J42" s="31" t="s">
        <v>1678</v>
      </c>
      <c r="K42" s="31" t="s">
        <v>1679</v>
      </c>
    </row>
    <row r="43" customFormat="false" ht="30" hidden="false" customHeight="true" outlineLevel="0" collapsed="false">
      <c r="A43" s="28" t="s">
        <v>94</v>
      </c>
      <c r="B43" s="36" t="s">
        <v>61</v>
      </c>
      <c r="C43" s="28" t="n">
        <v>1</v>
      </c>
      <c r="D43" s="28" t="n">
        <v>1</v>
      </c>
      <c r="E43" s="28" t="n">
        <v>3</v>
      </c>
      <c r="F43" s="38" t="s">
        <v>1680</v>
      </c>
      <c r="G43" s="28" t="s">
        <v>247</v>
      </c>
      <c r="H43" s="27" t="s">
        <v>250</v>
      </c>
      <c r="I43" s="27" t="s">
        <v>1681</v>
      </c>
      <c r="J43" s="31" t="s">
        <v>1682</v>
      </c>
      <c r="K43" s="31" t="s">
        <v>1683</v>
      </c>
    </row>
    <row r="44" customFormat="false" ht="30" hidden="false" customHeight="true" outlineLevel="0" collapsed="false">
      <c r="A44" s="28" t="s">
        <v>94</v>
      </c>
      <c r="B44" s="36" t="s">
        <v>61</v>
      </c>
      <c r="C44" s="28" t="n">
        <v>1</v>
      </c>
      <c r="D44" s="28" t="n">
        <v>2</v>
      </c>
      <c r="E44" s="28" t="n">
        <v>1</v>
      </c>
      <c r="F44" s="38" t="s">
        <v>1684</v>
      </c>
      <c r="G44" s="28" t="s">
        <v>257</v>
      </c>
      <c r="H44" s="27" t="s">
        <v>260</v>
      </c>
      <c r="I44" s="27" t="s">
        <v>1685</v>
      </c>
      <c r="J44" s="31" t="s">
        <v>1686</v>
      </c>
      <c r="K44" s="31" t="s">
        <v>1687</v>
      </c>
    </row>
    <row r="45" customFormat="false" ht="30" hidden="false" customHeight="true" outlineLevel="0" collapsed="false">
      <c r="A45" s="28" t="s">
        <v>94</v>
      </c>
      <c r="B45" s="36" t="s">
        <v>61</v>
      </c>
      <c r="C45" s="28" t="n">
        <v>1</v>
      </c>
      <c r="D45" s="28" t="n">
        <v>2</v>
      </c>
      <c r="E45" s="28" t="n">
        <v>2</v>
      </c>
      <c r="F45" s="38" t="s">
        <v>1688</v>
      </c>
      <c r="G45" s="28" t="s">
        <v>257</v>
      </c>
      <c r="H45" s="27" t="s">
        <v>260</v>
      </c>
      <c r="I45" s="27" t="s">
        <v>1689</v>
      </c>
      <c r="J45" s="31" t="s">
        <v>1690</v>
      </c>
      <c r="K45" s="27" t="s">
        <v>1691</v>
      </c>
    </row>
    <row r="46" customFormat="false" ht="30" hidden="false" customHeight="true" outlineLevel="0" collapsed="false">
      <c r="A46" s="28" t="s">
        <v>94</v>
      </c>
      <c r="B46" s="36" t="s">
        <v>61</v>
      </c>
      <c r="C46" s="28" t="n">
        <v>1</v>
      </c>
      <c r="D46" s="28" t="n">
        <v>3</v>
      </c>
      <c r="E46" s="28" t="n">
        <v>1</v>
      </c>
      <c r="F46" s="38" t="s">
        <v>1692</v>
      </c>
      <c r="G46" s="28" t="s">
        <v>265</v>
      </c>
      <c r="H46" s="27" t="s">
        <v>268</v>
      </c>
      <c r="I46" s="27" t="s">
        <v>1693</v>
      </c>
      <c r="J46" s="31" t="s">
        <v>1694</v>
      </c>
      <c r="K46" s="31" t="s">
        <v>1695</v>
      </c>
    </row>
    <row r="47" customFormat="false" ht="30" hidden="false" customHeight="true" outlineLevel="0" collapsed="false">
      <c r="A47" s="28" t="s">
        <v>94</v>
      </c>
      <c r="B47" s="36" t="s">
        <v>61</v>
      </c>
      <c r="C47" s="28" t="n">
        <v>1</v>
      </c>
      <c r="D47" s="28" t="n">
        <v>3</v>
      </c>
      <c r="E47" s="28" t="n">
        <v>2</v>
      </c>
      <c r="F47" s="38" t="s">
        <v>1696</v>
      </c>
      <c r="G47" s="28" t="s">
        <v>265</v>
      </c>
      <c r="H47" s="27" t="s">
        <v>268</v>
      </c>
      <c r="I47" s="27" t="s">
        <v>1697</v>
      </c>
      <c r="J47" s="31" t="s">
        <v>1698</v>
      </c>
      <c r="K47" s="31" t="s">
        <v>1699</v>
      </c>
    </row>
    <row r="48" customFormat="false" ht="30" hidden="false" customHeight="true" outlineLevel="0" collapsed="false">
      <c r="A48" s="28" t="s">
        <v>94</v>
      </c>
      <c r="B48" s="36" t="s">
        <v>61</v>
      </c>
      <c r="C48" s="28" t="n">
        <v>1</v>
      </c>
      <c r="D48" s="28" t="n">
        <v>3</v>
      </c>
      <c r="E48" s="28" t="n">
        <v>3</v>
      </c>
      <c r="F48" s="38" t="s">
        <v>1700</v>
      </c>
      <c r="G48" s="28" t="s">
        <v>265</v>
      </c>
      <c r="H48" s="27" t="s">
        <v>268</v>
      </c>
      <c r="I48" s="27" t="s">
        <v>1701</v>
      </c>
      <c r="J48" s="31" t="s">
        <v>1702</v>
      </c>
      <c r="K48" s="31" t="s">
        <v>1703</v>
      </c>
    </row>
    <row r="49" customFormat="false" ht="30" hidden="false" customHeight="true" outlineLevel="0" collapsed="false">
      <c r="A49" s="28" t="s">
        <v>94</v>
      </c>
      <c r="B49" s="36" t="s">
        <v>61</v>
      </c>
      <c r="C49" s="28" t="n">
        <v>1</v>
      </c>
      <c r="D49" s="28" t="n">
        <v>4</v>
      </c>
      <c r="E49" s="28" t="n">
        <v>1</v>
      </c>
      <c r="F49" s="38" t="s">
        <v>1704</v>
      </c>
      <c r="G49" s="28" t="s">
        <v>274</v>
      </c>
      <c r="H49" s="27" t="s">
        <v>277</v>
      </c>
      <c r="I49" s="27" t="s">
        <v>1705</v>
      </c>
      <c r="J49" s="31" t="s">
        <v>1706</v>
      </c>
      <c r="K49" s="31" t="s">
        <v>1707</v>
      </c>
    </row>
    <row r="50" customFormat="false" ht="30" hidden="false" customHeight="true" outlineLevel="0" collapsed="false">
      <c r="A50" s="28" t="s">
        <v>94</v>
      </c>
      <c r="B50" s="36" t="s">
        <v>61</v>
      </c>
      <c r="C50" s="28" t="n">
        <v>1</v>
      </c>
      <c r="D50" s="28" t="n">
        <v>4</v>
      </c>
      <c r="E50" s="28" t="n">
        <v>2</v>
      </c>
      <c r="F50" s="38" t="s">
        <v>1708</v>
      </c>
      <c r="G50" s="28" t="s">
        <v>274</v>
      </c>
      <c r="H50" s="27" t="s">
        <v>277</v>
      </c>
      <c r="I50" s="27" t="s">
        <v>1709</v>
      </c>
      <c r="J50" s="31" t="s">
        <v>1710</v>
      </c>
      <c r="K50" s="31" t="s">
        <v>1711</v>
      </c>
    </row>
    <row r="51" customFormat="false" ht="39" hidden="false" customHeight="true" outlineLevel="0" collapsed="false">
      <c r="A51" s="28" t="s">
        <v>94</v>
      </c>
      <c r="B51" s="36" t="s">
        <v>61</v>
      </c>
      <c r="C51" s="28" t="n">
        <v>1</v>
      </c>
      <c r="D51" s="28" t="n">
        <v>4</v>
      </c>
      <c r="E51" s="28" t="n">
        <v>3</v>
      </c>
      <c r="F51" s="38" t="s">
        <v>1712</v>
      </c>
      <c r="G51" s="28" t="s">
        <v>274</v>
      </c>
      <c r="H51" s="27" t="s">
        <v>277</v>
      </c>
      <c r="I51" s="27" t="s">
        <v>1713</v>
      </c>
      <c r="J51" s="31" t="s">
        <v>1714</v>
      </c>
      <c r="K51" s="31" t="s">
        <v>1715</v>
      </c>
    </row>
    <row r="52" customFormat="false" ht="30" hidden="false" customHeight="true" outlineLevel="0" collapsed="false">
      <c r="A52" s="28" t="s">
        <v>94</v>
      </c>
      <c r="B52" s="36" t="s">
        <v>61</v>
      </c>
      <c r="C52" s="28" t="n">
        <v>1</v>
      </c>
      <c r="D52" s="28" t="n">
        <v>5</v>
      </c>
      <c r="E52" s="28" t="n">
        <v>1</v>
      </c>
      <c r="F52" s="38" t="s">
        <v>1716</v>
      </c>
      <c r="G52" s="28" t="s">
        <v>283</v>
      </c>
      <c r="H52" s="27" t="s">
        <v>286</v>
      </c>
      <c r="I52" s="27" t="s">
        <v>1717</v>
      </c>
      <c r="J52" s="27" t="s">
        <v>1718</v>
      </c>
      <c r="K52" s="27" t="s">
        <v>1719</v>
      </c>
    </row>
    <row r="53" customFormat="false" ht="30" hidden="false" customHeight="true" outlineLevel="0" collapsed="false">
      <c r="A53" s="28" t="s">
        <v>94</v>
      </c>
      <c r="B53" s="36" t="s">
        <v>61</v>
      </c>
      <c r="C53" s="28" t="n">
        <v>1</v>
      </c>
      <c r="D53" s="28" t="n">
        <v>5</v>
      </c>
      <c r="E53" s="28" t="n">
        <v>2</v>
      </c>
      <c r="F53" s="38" t="s">
        <v>1720</v>
      </c>
      <c r="G53" s="28" t="s">
        <v>283</v>
      </c>
      <c r="H53" s="27" t="s">
        <v>286</v>
      </c>
      <c r="I53" s="27" t="s">
        <v>1721</v>
      </c>
      <c r="J53" s="31" t="s">
        <v>1722</v>
      </c>
      <c r="K53" s="27" t="s">
        <v>1723</v>
      </c>
    </row>
    <row r="54" customFormat="false" ht="30" hidden="false" customHeight="true" outlineLevel="0" collapsed="false">
      <c r="A54" s="28" t="s">
        <v>94</v>
      </c>
      <c r="B54" s="36" t="s">
        <v>61</v>
      </c>
      <c r="C54" s="28" t="n">
        <v>2</v>
      </c>
      <c r="D54" s="28" t="n">
        <v>1</v>
      </c>
      <c r="E54" s="28" t="n">
        <v>1</v>
      </c>
      <c r="F54" s="38" t="s">
        <v>1724</v>
      </c>
      <c r="G54" s="28" t="s">
        <v>294</v>
      </c>
      <c r="H54" s="27" t="s">
        <v>297</v>
      </c>
      <c r="I54" s="27" t="s">
        <v>297</v>
      </c>
      <c r="J54" s="27" t="s">
        <v>1725</v>
      </c>
      <c r="K54" s="31" t="s">
        <v>1726</v>
      </c>
    </row>
    <row r="55" customFormat="false" ht="30" hidden="false" customHeight="true" outlineLevel="0" collapsed="false">
      <c r="A55" s="28" t="s">
        <v>94</v>
      </c>
      <c r="B55" s="36" t="s">
        <v>61</v>
      </c>
      <c r="C55" s="28" t="n">
        <v>2</v>
      </c>
      <c r="D55" s="28" t="n">
        <v>1</v>
      </c>
      <c r="E55" s="28" t="n">
        <v>2</v>
      </c>
      <c r="F55" s="38" t="s">
        <v>1727</v>
      </c>
      <c r="G55" s="28" t="s">
        <v>294</v>
      </c>
      <c r="H55" s="27" t="s">
        <v>297</v>
      </c>
      <c r="I55" s="27" t="s">
        <v>1728</v>
      </c>
      <c r="J55" s="27" t="s">
        <v>1729</v>
      </c>
      <c r="K55" s="31" t="s">
        <v>1730</v>
      </c>
    </row>
    <row r="56" customFormat="false" ht="30" hidden="false" customHeight="true" outlineLevel="0" collapsed="false">
      <c r="A56" s="28" t="s">
        <v>94</v>
      </c>
      <c r="B56" s="36" t="s">
        <v>61</v>
      </c>
      <c r="C56" s="28" t="n">
        <v>2</v>
      </c>
      <c r="D56" s="28" t="n">
        <v>1</v>
      </c>
      <c r="E56" s="28" t="n">
        <v>3</v>
      </c>
      <c r="F56" s="38" t="s">
        <v>1731</v>
      </c>
      <c r="G56" s="28" t="s">
        <v>294</v>
      </c>
      <c r="H56" s="27" t="s">
        <v>297</v>
      </c>
      <c r="I56" s="27" t="s">
        <v>1732</v>
      </c>
      <c r="J56" s="31" t="s">
        <v>1733</v>
      </c>
      <c r="K56" s="31" t="s">
        <v>1734</v>
      </c>
    </row>
    <row r="57" customFormat="false" ht="30" hidden="false" customHeight="true" outlineLevel="0" collapsed="false">
      <c r="A57" s="28" t="s">
        <v>94</v>
      </c>
      <c r="B57" s="36" t="s">
        <v>61</v>
      </c>
      <c r="C57" s="28" t="n">
        <v>2</v>
      </c>
      <c r="D57" s="28" t="n">
        <v>2</v>
      </c>
      <c r="E57" s="28" t="n">
        <v>1</v>
      </c>
      <c r="F57" s="38" t="s">
        <v>1735</v>
      </c>
      <c r="G57" s="28" t="s">
        <v>302</v>
      </c>
      <c r="H57" s="27" t="s">
        <v>305</v>
      </c>
      <c r="I57" s="27" t="s">
        <v>1736</v>
      </c>
      <c r="J57" s="31" t="s">
        <v>1737</v>
      </c>
      <c r="K57" s="31" t="s">
        <v>1738</v>
      </c>
    </row>
    <row r="58" customFormat="false" ht="30" hidden="false" customHeight="true" outlineLevel="0" collapsed="false">
      <c r="A58" s="28" t="s">
        <v>94</v>
      </c>
      <c r="B58" s="36" t="s">
        <v>61</v>
      </c>
      <c r="C58" s="28" t="n">
        <v>2</v>
      </c>
      <c r="D58" s="28" t="n">
        <v>2</v>
      </c>
      <c r="E58" s="28" t="n">
        <v>2</v>
      </c>
      <c r="F58" s="38" t="s">
        <v>1739</v>
      </c>
      <c r="G58" s="28" t="s">
        <v>302</v>
      </c>
      <c r="H58" s="27" t="s">
        <v>305</v>
      </c>
      <c r="I58" s="27" t="s">
        <v>1740</v>
      </c>
      <c r="J58" s="31" t="s">
        <v>1741</v>
      </c>
      <c r="K58" s="31" t="s">
        <v>1742</v>
      </c>
    </row>
    <row r="59" customFormat="false" ht="30" hidden="false" customHeight="true" outlineLevel="0" collapsed="false">
      <c r="A59" s="28" t="s">
        <v>94</v>
      </c>
      <c r="B59" s="36" t="s">
        <v>61</v>
      </c>
      <c r="C59" s="28" t="n">
        <v>2</v>
      </c>
      <c r="D59" s="28" t="n">
        <v>2</v>
      </c>
      <c r="E59" s="28" t="n">
        <v>3</v>
      </c>
      <c r="F59" s="38" t="s">
        <v>1743</v>
      </c>
      <c r="G59" s="28" t="s">
        <v>302</v>
      </c>
      <c r="H59" s="27" t="s">
        <v>305</v>
      </c>
      <c r="I59" s="27" t="s">
        <v>1744</v>
      </c>
      <c r="J59" s="31" t="s">
        <v>1745</v>
      </c>
      <c r="K59" s="31" t="s">
        <v>1746</v>
      </c>
    </row>
    <row r="60" customFormat="false" ht="64.5" hidden="false" customHeight="true" outlineLevel="0" collapsed="false">
      <c r="A60" s="28" t="s">
        <v>94</v>
      </c>
      <c r="B60" s="36" t="s">
        <v>61</v>
      </c>
      <c r="C60" s="28" t="n">
        <v>2</v>
      </c>
      <c r="D60" s="28" t="n">
        <v>3</v>
      </c>
      <c r="E60" s="28" t="n">
        <v>1</v>
      </c>
      <c r="F60" s="38" t="s">
        <v>1747</v>
      </c>
      <c r="G60" s="28" t="s">
        <v>310</v>
      </c>
      <c r="H60" s="27" t="s">
        <v>313</v>
      </c>
      <c r="I60" s="27" t="s">
        <v>1748</v>
      </c>
      <c r="J60" s="27" t="s">
        <v>1749</v>
      </c>
      <c r="K60" s="27" t="s">
        <v>1750</v>
      </c>
    </row>
    <row r="61" customFormat="false" ht="39" hidden="false" customHeight="true" outlineLevel="0" collapsed="false">
      <c r="A61" s="28" t="s">
        <v>94</v>
      </c>
      <c r="B61" s="36" t="s">
        <v>61</v>
      </c>
      <c r="C61" s="28" t="n">
        <v>2</v>
      </c>
      <c r="D61" s="28" t="n">
        <v>3</v>
      </c>
      <c r="E61" s="28" t="n">
        <v>2</v>
      </c>
      <c r="F61" s="38" t="s">
        <v>1751</v>
      </c>
      <c r="G61" s="28" t="s">
        <v>310</v>
      </c>
      <c r="H61" s="27" t="s">
        <v>313</v>
      </c>
      <c r="I61" s="27" t="s">
        <v>1752</v>
      </c>
      <c r="J61" s="31" t="s">
        <v>1753</v>
      </c>
      <c r="K61" s="31" t="s">
        <v>1754</v>
      </c>
    </row>
    <row r="62" customFormat="false" ht="39" hidden="false" customHeight="true" outlineLevel="0" collapsed="false">
      <c r="A62" s="28" t="s">
        <v>94</v>
      </c>
      <c r="B62" s="36" t="s">
        <v>61</v>
      </c>
      <c r="C62" s="28" t="n">
        <v>2</v>
      </c>
      <c r="D62" s="28" t="n">
        <v>3</v>
      </c>
      <c r="E62" s="28" t="n">
        <v>3</v>
      </c>
      <c r="F62" s="38" t="s">
        <v>1755</v>
      </c>
      <c r="G62" s="28" t="s">
        <v>310</v>
      </c>
      <c r="H62" s="27" t="s">
        <v>313</v>
      </c>
      <c r="I62" s="27" t="s">
        <v>1756</v>
      </c>
      <c r="J62" s="31" t="s">
        <v>1757</v>
      </c>
      <c r="K62" s="31" t="s">
        <v>1758</v>
      </c>
    </row>
    <row r="63" customFormat="false" ht="30" hidden="false" customHeight="true" outlineLevel="0" collapsed="false">
      <c r="A63" s="28" t="s">
        <v>94</v>
      </c>
      <c r="B63" s="36" t="s">
        <v>61</v>
      </c>
      <c r="C63" s="28" t="n">
        <v>2</v>
      </c>
      <c r="D63" s="28" t="n">
        <v>3</v>
      </c>
      <c r="E63" s="28" t="n">
        <v>4</v>
      </c>
      <c r="F63" s="38" t="s">
        <v>1759</v>
      </c>
      <c r="G63" s="28" t="s">
        <v>310</v>
      </c>
      <c r="H63" s="27" t="s">
        <v>313</v>
      </c>
      <c r="I63" s="27" t="s">
        <v>1760</v>
      </c>
      <c r="J63" s="27" t="s">
        <v>1761</v>
      </c>
      <c r="K63" s="31" t="s">
        <v>1762</v>
      </c>
    </row>
    <row r="64" customFormat="false" ht="30" hidden="false" customHeight="true" outlineLevel="0" collapsed="false">
      <c r="A64" s="28" t="s">
        <v>94</v>
      </c>
      <c r="B64" s="36" t="s">
        <v>61</v>
      </c>
      <c r="C64" s="28" t="n">
        <v>2</v>
      </c>
      <c r="D64" s="28" t="n">
        <v>4</v>
      </c>
      <c r="E64" s="28" t="n">
        <v>1</v>
      </c>
      <c r="F64" s="38" t="s">
        <v>1763</v>
      </c>
      <c r="G64" s="28" t="s">
        <v>319</v>
      </c>
      <c r="H64" s="27" t="s">
        <v>322</v>
      </c>
      <c r="I64" s="27" t="s">
        <v>1764</v>
      </c>
      <c r="J64" s="31" t="s">
        <v>1765</v>
      </c>
      <c r="K64" s="31" t="s">
        <v>1766</v>
      </c>
    </row>
    <row r="65" customFormat="false" ht="30" hidden="false" customHeight="true" outlineLevel="0" collapsed="false">
      <c r="A65" s="28" t="s">
        <v>94</v>
      </c>
      <c r="B65" s="36" t="s">
        <v>61</v>
      </c>
      <c r="C65" s="28" t="n">
        <v>2</v>
      </c>
      <c r="D65" s="28" t="n">
        <v>4</v>
      </c>
      <c r="E65" s="28" t="n">
        <v>2</v>
      </c>
      <c r="F65" s="38" t="s">
        <v>1767</v>
      </c>
      <c r="G65" s="28" t="s">
        <v>319</v>
      </c>
      <c r="H65" s="27" t="s">
        <v>322</v>
      </c>
      <c r="I65" s="27" t="s">
        <v>1768</v>
      </c>
      <c r="J65" s="31" t="s">
        <v>1769</v>
      </c>
      <c r="K65" s="31" t="s">
        <v>1770</v>
      </c>
    </row>
    <row r="66" customFormat="false" ht="51.75" hidden="false" customHeight="true" outlineLevel="0" collapsed="false">
      <c r="A66" s="28" t="s">
        <v>94</v>
      </c>
      <c r="B66" s="36" t="s">
        <v>61</v>
      </c>
      <c r="C66" s="28" t="n">
        <v>2</v>
      </c>
      <c r="D66" s="28" t="n">
        <v>4</v>
      </c>
      <c r="E66" s="28" t="n">
        <v>3</v>
      </c>
      <c r="F66" s="38" t="s">
        <v>1771</v>
      </c>
      <c r="G66" s="28" t="s">
        <v>319</v>
      </c>
      <c r="H66" s="27" t="s">
        <v>322</v>
      </c>
      <c r="I66" s="27" t="s">
        <v>1772</v>
      </c>
      <c r="J66" s="31" t="s">
        <v>1773</v>
      </c>
      <c r="K66" s="31" t="s">
        <v>1774</v>
      </c>
    </row>
    <row r="67" customFormat="false" ht="30" hidden="false" customHeight="true" outlineLevel="0" collapsed="false">
      <c r="A67" s="28" t="s">
        <v>94</v>
      </c>
      <c r="B67" s="36" t="s">
        <v>61</v>
      </c>
      <c r="C67" s="28" t="n">
        <v>2</v>
      </c>
      <c r="D67" s="28" t="n">
        <v>5</v>
      </c>
      <c r="E67" s="28" t="n">
        <v>1</v>
      </c>
      <c r="F67" s="38" t="s">
        <v>1775</v>
      </c>
      <c r="G67" s="28" t="s">
        <v>327</v>
      </c>
      <c r="H67" s="27" t="s">
        <v>330</v>
      </c>
      <c r="I67" s="27" t="s">
        <v>1776</v>
      </c>
      <c r="J67" s="31" t="s">
        <v>1777</v>
      </c>
      <c r="K67" s="31" t="s">
        <v>1778</v>
      </c>
    </row>
    <row r="68" customFormat="false" ht="39" hidden="false" customHeight="true" outlineLevel="0" collapsed="false">
      <c r="A68" s="28" t="s">
        <v>94</v>
      </c>
      <c r="B68" s="36" t="s">
        <v>61</v>
      </c>
      <c r="C68" s="28" t="n">
        <v>2</v>
      </c>
      <c r="D68" s="28" t="n">
        <v>5</v>
      </c>
      <c r="E68" s="28" t="n">
        <v>2</v>
      </c>
      <c r="F68" s="38" t="s">
        <v>1779</v>
      </c>
      <c r="G68" s="28" t="s">
        <v>327</v>
      </c>
      <c r="H68" s="27" t="s">
        <v>330</v>
      </c>
      <c r="I68" s="27" t="s">
        <v>1780</v>
      </c>
      <c r="J68" s="31" t="s">
        <v>1781</v>
      </c>
      <c r="K68" s="27" t="s">
        <v>1782</v>
      </c>
    </row>
    <row r="69" customFormat="false" ht="39" hidden="false" customHeight="true" outlineLevel="0" collapsed="false">
      <c r="A69" s="28" t="s">
        <v>94</v>
      </c>
      <c r="B69" s="36" t="s">
        <v>61</v>
      </c>
      <c r="C69" s="28" t="n">
        <v>3</v>
      </c>
      <c r="D69" s="28" t="n">
        <v>1</v>
      </c>
      <c r="E69" s="28" t="n">
        <v>1</v>
      </c>
      <c r="F69" s="38" t="s">
        <v>1783</v>
      </c>
      <c r="G69" s="28" t="s">
        <v>335</v>
      </c>
      <c r="H69" s="27" t="s">
        <v>338</v>
      </c>
      <c r="I69" s="27" t="s">
        <v>1784</v>
      </c>
      <c r="J69" s="31" t="s">
        <v>1785</v>
      </c>
      <c r="K69" s="31" t="s">
        <v>1786</v>
      </c>
    </row>
    <row r="70" customFormat="false" ht="39" hidden="false" customHeight="true" outlineLevel="0" collapsed="false">
      <c r="A70" s="28" t="s">
        <v>94</v>
      </c>
      <c r="B70" s="36" t="s">
        <v>61</v>
      </c>
      <c r="C70" s="28" t="n">
        <v>3</v>
      </c>
      <c r="D70" s="28" t="n">
        <v>1</v>
      </c>
      <c r="E70" s="28" t="n">
        <v>2</v>
      </c>
      <c r="F70" s="38" t="s">
        <v>1787</v>
      </c>
      <c r="G70" s="28" t="s">
        <v>335</v>
      </c>
      <c r="H70" s="27" t="s">
        <v>338</v>
      </c>
      <c r="I70" s="27" t="s">
        <v>1788</v>
      </c>
      <c r="J70" s="31" t="s">
        <v>1789</v>
      </c>
      <c r="K70" s="31" t="s">
        <v>1790</v>
      </c>
    </row>
    <row r="71" customFormat="false" ht="39" hidden="false" customHeight="true" outlineLevel="0" collapsed="false">
      <c r="A71" s="28" t="s">
        <v>94</v>
      </c>
      <c r="B71" s="36" t="s">
        <v>61</v>
      </c>
      <c r="C71" s="28" t="n">
        <v>3</v>
      </c>
      <c r="D71" s="28" t="n">
        <v>1</v>
      </c>
      <c r="E71" s="28" t="n">
        <v>3</v>
      </c>
      <c r="F71" s="38" t="s">
        <v>1791</v>
      </c>
      <c r="G71" s="28" t="s">
        <v>335</v>
      </c>
      <c r="H71" s="27" t="s">
        <v>338</v>
      </c>
      <c r="I71" s="27" t="s">
        <v>1792</v>
      </c>
      <c r="J71" s="31" t="s">
        <v>1793</v>
      </c>
      <c r="K71" s="31" t="s">
        <v>1794</v>
      </c>
    </row>
    <row r="72" customFormat="false" ht="39" hidden="false" customHeight="true" outlineLevel="0" collapsed="false">
      <c r="A72" s="28" t="s">
        <v>94</v>
      </c>
      <c r="B72" s="36" t="s">
        <v>61</v>
      </c>
      <c r="C72" s="28" t="n">
        <v>3</v>
      </c>
      <c r="D72" s="28" t="n">
        <v>2</v>
      </c>
      <c r="E72" s="28" t="n">
        <v>1</v>
      </c>
      <c r="F72" s="38" t="s">
        <v>1795</v>
      </c>
      <c r="G72" s="28" t="s">
        <v>343</v>
      </c>
      <c r="H72" s="27" t="s">
        <v>346</v>
      </c>
      <c r="I72" s="27" t="s">
        <v>1796</v>
      </c>
      <c r="J72" s="31" t="s">
        <v>1797</v>
      </c>
      <c r="K72" s="31" t="s">
        <v>1798</v>
      </c>
    </row>
    <row r="73" customFormat="false" ht="30" hidden="false" customHeight="true" outlineLevel="0" collapsed="false">
      <c r="A73" s="28" t="s">
        <v>94</v>
      </c>
      <c r="B73" s="36" t="s">
        <v>61</v>
      </c>
      <c r="C73" s="28" t="n">
        <v>3</v>
      </c>
      <c r="D73" s="28" t="n">
        <v>2</v>
      </c>
      <c r="E73" s="28" t="n">
        <v>2</v>
      </c>
      <c r="F73" s="38" t="s">
        <v>1799</v>
      </c>
      <c r="G73" s="28" t="s">
        <v>343</v>
      </c>
      <c r="H73" s="27" t="s">
        <v>346</v>
      </c>
      <c r="I73" s="27" t="s">
        <v>1800</v>
      </c>
      <c r="J73" s="31" t="s">
        <v>1801</v>
      </c>
      <c r="K73" s="31" t="s">
        <v>1802</v>
      </c>
    </row>
    <row r="74" customFormat="false" ht="30" hidden="false" customHeight="true" outlineLevel="0" collapsed="false">
      <c r="A74" s="28" t="s">
        <v>94</v>
      </c>
      <c r="B74" s="36" t="s">
        <v>61</v>
      </c>
      <c r="C74" s="28" t="n">
        <v>3</v>
      </c>
      <c r="D74" s="28" t="n">
        <v>2</v>
      </c>
      <c r="E74" s="28" t="n">
        <v>3</v>
      </c>
      <c r="F74" s="38" t="s">
        <v>1803</v>
      </c>
      <c r="G74" s="28" t="s">
        <v>343</v>
      </c>
      <c r="H74" s="27" t="s">
        <v>346</v>
      </c>
      <c r="I74" s="27" t="s">
        <v>1804</v>
      </c>
      <c r="J74" s="31" t="s">
        <v>1805</v>
      </c>
      <c r="K74" s="31" t="s">
        <v>1806</v>
      </c>
    </row>
    <row r="75" customFormat="false" ht="30" hidden="false" customHeight="true" outlineLevel="0" collapsed="false">
      <c r="A75" s="28" t="s">
        <v>94</v>
      </c>
      <c r="B75" s="36" t="s">
        <v>61</v>
      </c>
      <c r="C75" s="28" t="n">
        <v>3</v>
      </c>
      <c r="D75" s="28" t="n">
        <v>3</v>
      </c>
      <c r="E75" s="28" t="n">
        <v>1</v>
      </c>
      <c r="F75" s="38" t="s">
        <v>1807</v>
      </c>
      <c r="G75" s="28" t="s">
        <v>351</v>
      </c>
      <c r="H75" s="27" t="s">
        <v>354</v>
      </c>
      <c r="I75" s="27" t="s">
        <v>1808</v>
      </c>
      <c r="J75" s="27" t="s">
        <v>1809</v>
      </c>
      <c r="K75" s="27" t="s">
        <v>1810</v>
      </c>
    </row>
    <row r="76" customFormat="false" ht="39" hidden="false" customHeight="true" outlineLevel="0" collapsed="false">
      <c r="A76" s="28" t="s">
        <v>94</v>
      </c>
      <c r="B76" s="36" t="s">
        <v>61</v>
      </c>
      <c r="C76" s="28" t="n">
        <v>3</v>
      </c>
      <c r="D76" s="28" t="n">
        <v>3</v>
      </c>
      <c r="E76" s="28" t="n">
        <v>2</v>
      </c>
      <c r="F76" s="38" t="s">
        <v>1811</v>
      </c>
      <c r="G76" s="28" t="s">
        <v>351</v>
      </c>
      <c r="H76" s="27" t="s">
        <v>354</v>
      </c>
      <c r="I76" s="27" t="s">
        <v>1812</v>
      </c>
      <c r="J76" s="27" t="s">
        <v>1813</v>
      </c>
      <c r="K76" s="31" t="s">
        <v>1814</v>
      </c>
    </row>
    <row r="77" customFormat="false" ht="30" hidden="false" customHeight="true" outlineLevel="0" collapsed="false">
      <c r="A77" s="28" t="s">
        <v>94</v>
      </c>
      <c r="B77" s="36" t="s">
        <v>61</v>
      </c>
      <c r="C77" s="28" t="n">
        <v>3</v>
      </c>
      <c r="D77" s="28" t="n">
        <v>4</v>
      </c>
      <c r="E77" s="28" t="n">
        <v>1</v>
      </c>
      <c r="F77" s="38" t="s">
        <v>1815</v>
      </c>
      <c r="G77" s="28" t="s">
        <v>360</v>
      </c>
      <c r="H77" s="27" t="s">
        <v>363</v>
      </c>
      <c r="I77" s="27" t="s">
        <v>1816</v>
      </c>
      <c r="J77" s="31" t="s">
        <v>1817</v>
      </c>
      <c r="K77" s="31" t="s">
        <v>1818</v>
      </c>
    </row>
    <row r="78" customFormat="false" ht="39" hidden="false" customHeight="true" outlineLevel="0" collapsed="false">
      <c r="A78" s="28" t="s">
        <v>94</v>
      </c>
      <c r="B78" s="36" t="s">
        <v>61</v>
      </c>
      <c r="C78" s="28" t="n">
        <v>3</v>
      </c>
      <c r="D78" s="28" t="n">
        <v>4</v>
      </c>
      <c r="E78" s="28" t="n">
        <v>2</v>
      </c>
      <c r="F78" s="38" t="s">
        <v>1819</v>
      </c>
      <c r="G78" s="28" t="s">
        <v>360</v>
      </c>
      <c r="H78" s="27" t="s">
        <v>363</v>
      </c>
      <c r="I78" s="27" t="s">
        <v>1820</v>
      </c>
      <c r="J78" s="31" t="s">
        <v>1821</v>
      </c>
      <c r="K78" s="31" t="s">
        <v>1822</v>
      </c>
    </row>
    <row r="79" customFormat="false" ht="30" hidden="false" customHeight="true" outlineLevel="0" collapsed="false">
      <c r="A79" s="28" t="s">
        <v>94</v>
      </c>
      <c r="B79" s="36" t="s">
        <v>61</v>
      </c>
      <c r="C79" s="28" t="n">
        <v>3</v>
      </c>
      <c r="D79" s="28" t="n">
        <v>5</v>
      </c>
      <c r="E79" s="28" t="n">
        <v>1</v>
      </c>
      <c r="F79" s="38" t="s">
        <v>1823</v>
      </c>
      <c r="G79" s="28" t="s">
        <v>369</v>
      </c>
      <c r="H79" s="27" t="s">
        <v>372</v>
      </c>
      <c r="I79" s="27" t="s">
        <v>1824</v>
      </c>
      <c r="J79" s="27" t="s">
        <v>1825</v>
      </c>
      <c r="K79" s="27" t="s">
        <v>1826</v>
      </c>
    </row>
    <row r="80" customFormat="false" ht="30" hidden="false" customHeight="true" outlineLevel="0" collapsed="false">
      <c r="A80" s="28" t="s">
        <v>94</v>
      </c>
      <c r="B80" s="36" t="s">
        <v>61</v>
      </c>
      <c r="C80" s="28" t="n">
        <v>3</v>
      </c>
      <c r="D80" s="28" t="n">
        <v>5</v>
      </c>
      <c r="E80" s="28" t="n">
        <v>2</v>
      </c>
      <c r="F80" s="38" t="s">
        <v>1827</v>
      </c>
      <c r="G80" s="28" t="s">
        <v>369</v>
      </c>
      <c r="H80" s="27" t="s">
        <v>372</v>
      </c>
      <c r="I80" s="27" t="s">
        <v>1828</v>
      </c>
      <c r="J80" s="31" t="s">
        <v>1829</v>
      </c>
      <c r="K80" s="27" t="s">
        <v>1830</v>
      </c>
    </row>
    <row r="81" customFormat="false" ht="39" hidden="false" customHeight="true" outlineLevel="0" collapsed="false">
      <c r="A81" s="28" t="s">
        <v>94</v>
      </c>
      <c r="B81" s="36" t="s">
        <v>61</v>
      </c>
      <c r="C81" s="28" t="n">
        <v>3</v>
      </c>
      <c r="D81" s="28" t="n">
        <v>5</v>
      </c>
      <c r="E81" s="28" t="n">
        <v>3</v>
      </c>
      <c r="F81" s="38" t="s">
        <v>1831</v>
      </c>
      <c r="G81" s="28" t="s">
        <v>369</v>
      </c>
      <c r="H81" s="27" t="s">
        <v>372</v>
      </c>
      <c r="I81" s="27" t="s">
        <v>1832</v>
      </c>
      <c r="J81" s="27" t="s">
        <v>1833</v>
      </c>
      <c r="K81" s="27" t="s">
        <v>1834</v>
      </c>
    </row>
    <row r="82" customFormat="false" ht="51.75" hidden="false" customHeight="true" outlineLevel="0" collapsed="false">
      <c r="A82" s="28" t="s">
        <v>94</v>
      </c>
      <c r="B82" s="36" t="s">
        <v>61</v>
      </c>
      <c r="C82" s="28" t="n">
        <v>4</v>
      </c>
      <c r="D82" s="28" t="n">
        <v>1</v>
      </c>
      <c r="E82" s="28" t="n">
        <v>1</v>
      </c>
      <c r="F82" s="38" t="s">
        <v>1835</v>
      </c>
      <c r="G82" s="28" t="s">
        <v>378</v>
      </c>
      <c r="H82" s="27" t="s">
        <v>381</v>
      </c>
      <c r="I82" s="27" t="s">
        <v>1836</v>
      </c>
      <c r="J82" s="27" t="s">
        <v>1837</v>
      </c>
      <c r="K82" s="27" t="s">
        <v>1838</v>
      </c>
    </row>
    <row r="83" customFormat="false" ht="39" hidden="false" customHeight="true" outlineLevel="0" collapsed="false">
      <c r="A83" s="28" t="s">
        <v>94</v>
      </c>
      <c r="B83" s="36" t="s">
        <v>61</v>
      </c>
      <c r="C83" s="28" t="n">
        <v>4</v>
      </c>
      <c r="D83" s="28" t="n">
        <v>1</v>
      </c>
      <c r="E83" s="28" t="n">
        <v>2</v>
      </c>
      <c r="F83" s="38" t="s">
        <v>1839</v>
      </c>
      <c r="G83" s="28" t="s">
        <v>378</v>
      </c>
      <c r="H83" s="27" t="s">
        <v>381</v>
      </c>
      <c r="I83" s="27" t="s">
        <v>1840</v>
      </c>
      <c r="J83" s="31" t="s">
        <v>1841</v>
      </c>
      <c r="K83" s="31" t="s">
        <v>1842</v>
      </c>
    </row>
    <row r="84" customFormat="false" ht="39" hidden="false" customHeight="true" outlineLevel="0" collapsed="false">
      <c r="A84" s="28" t="s">
        <v>94</v>
      </c>
      <c r="B84" s="36" t="s">
        <v>61</v>
      </c>
      <c r="C84" s="28" t="n">
        <v>4</v>
      </c>
      <c r="D84" s="28" t="n">
        <v>2</v>
      </c>
      <c r="E84" s="28" t="n">
        <v>1</v>
      </c>
      <c r="F84" s="38" t="s">
        <v>1843</v>
      </c>
      <c r="G84" s="28" t="s">
        <v>387</v>
      </c>
      <c r="H84" s="27" t="s">
        <v>390</v>
      </c>
      <c r="I84" s="27" t="s">
        <v>1844</v>
      </c>
      <c r="J84" s="31" t="s">
        <v>1845</v>
      </c>
      <c r="K84" s="31" t="s">
        <v>1846</v>
      </c>
    </row>
    <row r="85" customFormat="false" ht="39" hidden="false" customHeight="true" outlineLevel="0" collapsed="false">
      <c r="A85" s="28" t="s">
        <v>94</v>
      </c>
      <c r="B85" s="36" t="s">
        <v>61</v>
      </c>
      <c r="C85" s="28" t="n">
        <v>4</v>
      </c>
      <c r="D85" s="28" t="n">
        <v>2</v>
      </c>
      <c r="E85" s="28" t="n">
        <v>2</v>
      </c>
      <c r="F85" s="38" t="s">
        <v>1847</v>
      </c>
      <c r="G85" s="28" t="s">
        <v>387</v>
      </c>
      <c r="H85" s="27" t="s">
        <v>390</v>
      </c>
      <c r="I85" s="27" t="s">
        <v>1848</v>
      </c>
      <c r="J85" s="31" t="s">
        <v>1849</v>
      </c>
      <c r="K85" s="31" t="s">
        <v>1850</v>
      </c>
    </row>
    <row r="86" customFormat="false" ht="39" hidden="false" customHeight="true" outlineLevel="0" collapsed="false">
      <c r="A86" s="28" t="s">
        <v>94</v>
      </c>
      <c r="B86" s="36" t="s">
        <v>61</v>
      </c>
      <c r="C86" s="28" t="n">
        <v>4</v>
      </c>
      <c r="D86" s="28" t="n">
        <v>2</v>
      </c>
      <c r="E86" s="28" t="n">
        <v>3</v>
      </c>
      <c r="F86" s="38" t="s">
        <v>1851</v>
      </c>
      <c r="G86" s="28" t="s">
        <v>387</v>
      </c>
      <c r="H86" s="27" t="s">
        <v>390</v>
      </c>
      <c r="I86" s="27" t="s">
        <v>1852</v>
      </c>
      <c r="J86" s="31" t="s">
        <v>1853</v>
      </c>
      <c r="K86" s="31" t="s">
        <v>1854</v>
      </c>
    </row>
    <row r="87" customFormat="false" ht="39" hidden="false" customHeight="true" outlineLevel="0" collapsed="false">
      <c r="A87" s="28" t="s">
        <v>94</v>
      </c>
      <c r="B87" s="36" t="s">
        <v>61</v>
      </c>
      <c r="C87" s="28" t="n">
        <v>4</v>
      </c>
      <c r="D87" s="28" t="n">
        <v>3</v>
      </c>
      <c r="E87" s="28" t="n">
        <v>1</v>
      </c>
      <c r="F87" s="38" t="s">
        <v>1296</v>
      </c>
      <c r="G87" s="28" t="s">
        <v>395</v>
      </c>
      <c r="H87" s="27" t="s">
        <v>398</v>
      </c>
      <c r="I87" s="27" t="s">
        <v>1855</v>
      </c>
      <c r="J87" s="27" t="s">
        <v>1856</v>
      </c>
      <c r="K87" s="31" t="s">
        <v>1857</v>
      </c>
    </row>
    <row r="88" customFormat="false" ht="39" hidden="false" customHeight="true" outlineLevel="0" collapsed="false">
      <c r="A88" s="28" t="s">
        <v>94</v>
      </c>
      <c r="B88" s="36" t="s">
        <v>61</v>
      </c>
      <c r="C88" s="28" t="n">
        <v>4</v>
      </c>
      <c r="D88" s="28" t="n">
        <v>3</v>
      </c>
      <c r="E88" s="28" t="n">
        <v>2</v>
      </c>
      <c r="F88" s="38" t="s">
        <v>1858</v>
      </c>
      <c r="G88" s="28" t="s">
        <v>395</v>
      </c>
      <c r="H88" s="27" t="s">
        <v>398</v>
      </c>
      <c r="I88" s="27" t="s">
        <v>1859</v>
      </c>
      <c r="J88" s="27" t="s">
        <v>1860</v>
      </c>
      <c r="K88" s="31" t="s">
        <v>1861</v>
      </c>
    </row>
    <row r="89" customFormat="false" ht="39" hidden="false" customHeight="true" outlineLevel="0" collapsed="false">
      <c r="A89" s="28" t="s">
        <v>94</v>
      </c>
      <c r="B89" s="36" t="s">
        <v>61</v>
      </c>
      <c r="C89" s="28" t="n">
        <v>4</v>
      </c>
      <c r="D89" s="28" t="n">
        <v>3</v>
      </c>
      <c r="E89" s="28" t="n">
        <v>3</v>
      </c>
      <c r="F89" s="38" t="s">
        <v>1862</v>
      </c>
      <c r="G89" s="28" t="s">
        <v>395</v>
      </c>
      <c r="H89" s="27" t="s">
        <v>398</v>
      </c>
      <c r="I89" s="27" t="s">
        <v>1863</v>
      </c>
      <c r="J89" s="27" t="s">
        <v>1864</v>
      </c>
      <c r="K89" s="31" t="s">
        <v>1865</v>
      </c>
    </row>
    <row r="90" customFormat="false" ht="39" hidden="false" customHeight="true" outlineLevel="0" collapsed="false">
      <c r="A90" s="28" t="s">
        <v>94</v>
      </c>
      <c r="B90" s="36" t="s">
        <v>61</v>
      </c>
      <c r="C90" s="28" t="n">
        <v>4</v>
      </c>
      <c r="D90" s="28" t="n">
        <v>4</v>
      </c>
      <c r="E90" s="28" t="n">
        <v>1</v>
      </c>
      <c r="F90" s="38" t="s">
        <v>1866</v>
      </c>
      <c r="G90" s="28" t="s">
        <v>403</v>
      </c>
      <c r="H90" s="27" t="s">
        <v>406</v>
      </c>
      <c r="I90" s="27" t="s">
        <v>1867</v>
      </c>
      <c r="J90" s="27" t="s">
        <v>1868</v>
      </c>
      <c r="K90" s="27" t="s">
        <v>1869</v>
      </c>
    </row>
    <row r="91" customFormat="false" ht="30" hidden="false" customHeight="true" outlineLevel="0" collapsed="false">
      <c r="A91" s="28" t="s">
        <v>94</v>
      </c>
      <c r="B91" s="36" t="s">
        <v>61</v>
      </c>
      <c r="C91" s="28" t="n">
        <v>4</v>
      </c>
      <c r="D91" s="28" t="n">
        <v>4</v>
      </c>
      <c r="E91" s="28" t="n">
        <v>2</v>
      </c>
      <c r="F91" s="38" t="s">
        <v>1870</v>
      </c>
      <c r="G91" s="28" t="s">
        <v>403</v>
      </c>
      <c r="H91" s="27" t="s">
        <v>406</v>
      </c>
      <c r="I91" s="27" t="s">
        <v>1871</v>
      </c>
      <c r="J91" s="31" t="s">
        <v>1872</v>
      </c>
      <c r="K91" s="31" t="s">
        <v>1873</v>
      </c>
    </row>
    <row r="92" customFormat="false" ht="30" hidden="false" customHeight="true" outlineLevel="0" collapsed="false">
      <c r="A92" s="28" t="s">
        <v>94</v>
      </c>
      <c r="B92" s="36" t="s">
        <v>61</v>
      </c>
      <c r="C92" s="28" t="n">
        <v>4</v>
      </c>
      <c r="D92" s="28" t="n">
        <v>4</v>
      </c>
      <c r="E92" s="28" t="n">
        <v>3</v>
      </c>
      <c r="F92" s="38" t="s">
        <v>1874</v>
      </c>
      <c r="G92" s="28" t="s">
        <v>403</v>
      </c>
      <c r="H92" s="27" t="s">
        <v>406</v>
      </c>
      <c r="I92" s="27" t="s">
        <v>1875</v>
      </c>
      <c r="J92" s="27" t="s">
        <v>1876</v>
      </c>
      <c r="K92" s="31" t="s">
        <v>1877</v>
      </c>
    </row>
    <row r="93" customFormat="false" ht="51.75" hidden="false" customHeight="true" outlineLevel="0" collapsed="false">
      <c r="A93" s="28" t="s">
        <v>94</v>
      </c>
      <c r="B93" s="36" t="s">
        <v>61</v>
      </c>
      <c r="C93" s="28" t="n">
        <v>4</v>
      </c>
      <c r="D93" s="28" t="n">
        <v>5</v>
      </c>
      <c r="E93" s="28" t="n">
        <v>1</v>
      </c>
      <c r="F93" s="38" t="s">
        <v>1878</v>
      </c>
      <c r="G93" s="28" t="s">
        <v>412</v>
      </c>
      <c r="H93" s="27" t="s">
        <v>415</v>
      </c>
      <c r="I93" s="27" t="s">
        <v>1879</v>
      </c>
      <c r="J93" s="27" t="s">
        <v>1880</v>
      </c>
      <c r="K93" s="27" t="s">
        <v>1881</v>
      </c>
    </row>
    <row r="94" customFormat="false" ht="39" hidden="false" customHeight="true" outlineLevel="0" collapsed="false">
      <c r="A94" s="28" t="s">
        <v>94</v>
      </c>
      <c r="B94" s="36" t="s">
        <v>61</v>
      </c>
      <c r="C94" s="28" t="n">
        <v>4</v>
      </c>
      <c r="D94" s="28" t="n">
        <v>5</v>
      </c>
      <c r="E94" s="28" t="n">
        <v>2</v>
      </c>
      <c r="F94" s="38" t="s">
        <v>1882</v>
      </c>
      <c r="G94" s="28" t="s">
        <v>412</v>
      </c>
      <c r="H94" s="27" t="s">
        <v>415</v>
      </c>
      <c r="I94" s="27" t="s">
        <v>1883</v>
      </c>
      <c r="J94" s="27" t="s">
        <v>1884</v>
      </c>
      <c r="K94" s="27" t="s">
        <v>1885</v>
      </c>
    </row>
    <row r="95" customFormat="false" ht="39" hidden="false" customHeight="true" outlineLevel="0" collapsed="false">
      <c r="A95" s="28" t="s">
        <v>94</v>
      </c>
      <c r="B95" s="36" t="s">
        <v>61</v>
      </c>
      <c r="C95" s="28" t="n">
        <v>4</v>
      </c>
      <c r="D95" s="28" t="n">
        <v>5</v>
      </c>
      <c r="E95" s="28" t="n">
        <v>3</v>
      </c>
      <c r="F95" s="38" t="s">
        <v>1886</v>
      </c>
      <c r="G95" s="28" t="s">
        <v>412</v>
      </c>
      <c r="H95" s="27" t="s">
        <v>415</v>
      </c>
      <c r="I95" s="27" t="s">
        <v>1887</v>
      </c>
      <c r="J95" s="27" t="s">
        <v>1888</v>
      </c>
      <c r="K95" s="27" t="s">
        <v>1889</v>
      </c>
    </row>
    <row r="96" customFormat="false" ht="30" hidden="false" customHeight="true" outlineLevel="0" collapsed="false">
      <c r="A96" s="28" t="s">
        <v>94</v>
      </c>
      <c r="B96" s="37" t="s">
        <v>62</v>
      </c>
      <c r="C96" s="28" t="n">
        <v>1</v>
      </c>
      <c r="D96" s="28" t="n">
        <v>1</v>
      </c>
      <c r="E96" s="28" t="n">
        <v>1</v>
      </c>
      <c r="F96" s="38" t="s">
        <v>1890</v>
      </c>
      <c r="G96" s="28" t="s">
        <v>421</v>
      </c>
      <c r="H96" s="27" t="s">
        <v>424</v>
      </c>
      <c r="I96" s="27" t="s">
        <v>1891</v>
      </c>
      <c r="J96" s="31" t="s">
        <v>1892</v>
      </c>
      <c r="K96" s="31" t="s">
        <v>1893</v>
      </c>
    </row>
    <row r="97" customFormat="false" ht="30" hidden="false" customHeight="true" outlineLevel="0" collapsed="false">
      <c r="A97" s="28" t="s">
        <v>94</v>
      </c>
      <c r="B97" s="37" t="s">
        <v>62</v>
      </c>
      <c r="C97" s="28" t="n">
        <v>1</v>
      </c>
      <c r="D97" s="28" t="n">
        <v>1</v>
      </c>
      <c r="E97" s="28" t="n">
        <v>2</v>
      </c>
      <c r="F97" s="38" t="s">
        <v>1894</v>
      </c>
      <c r="G97" s="28" t="s">
        <v>421</v>
      </c>
      <c r="H97" s="27" t="s">
        <v>424</v>
      </c>
      <c r="I97" s="27" t="s">
        <v>1895</v>
      </c>
      <c r="J97" s="31" t="s">
        <v>1896</v>
      </c>
      <c r="K97" s="31" t="s">
        <v>1897</v>
      </c>
    </row>
    <row r="98" customFormat="false" ht="30" hidden="false" customHeight="true" outlineLevel="0" collapsed="false">
      <c r="A98" s="28" t="s">
        <v>94</v>
      </c>
      <c r="B98" s="37" t="s">
        <v>62</v>
      </c>
      <c r="C98" s="28" t="n">
        <v>1</v>
      </c>
      <c r="D98" s="28" t="n">
        <v>1</v>
      </c>
      <c r="E98" s="28" t="n">
        <v>3</v>
      </c>
      <c r="F98" s="38" t="s">
        <v>1898</v>
      </c>
      <c r="G98" s="28" t="s">
        <v>421</v>
      </c>
      <c r="H98" s="27" t="s">
        <v>424</v>
      </c>
      <c r="I98" s="27" t="s">
        <v>1899</v>
      </c>
      <c r="J98" s="31" t="s">
        <v>1900</v>
      </c>
      <c r="K98" s="31" t="s">
        <v>1901</v>
      </c>
    </row>
    <row r="99" customFormat="false" ht="30" hidden="false" customHeight="true" outlineLevel="0" collapsed="false">
      <c r="A99" s="28" t="s">
        <v>94</v>
      </c>
      <c r="B99" s="37" t="s">
        <v>62</v>
      </c>
      <c r="C99" s="28" t="n">
        <v>1</v>
      </c>
      <c r="D99" s="28" t="n">
        <v>2</v>
      </c>
      <c r="E99" s="28" t="n">
        <v>1</v>
      </c>
      <c r="F99" s="38" t="s">
        <v>1902</v>
      </c>
      <c r="G99" s="28" t="s">
        <v>431</v>
      </c>
      <c r="H99" s="27" t="s">
        <v>434</v>
      </c>
      <c r="I99" s="27" t="s">
        <v>1903</v>
      </c>
      <c r="J99" s="27" t="s">
        <v>1904</v>
      </c>
      <c r="K99" s="27" t="s">
        <v>1905</v>
      </c>
    </row>
    <row r="100" customFormat="false" ht="30" hidden="false" customHeight="true" outlineLevel="0" collapsed="false">
      <c r="A100" s="28" t="s">
        <v>94</v>
      </c>
      <c r="B100" s="37" t="s">
        <v>62</v>
      </c>
      <c r="C100" s="28" t="n">
        <v>1</v>
      </c>
      <c r="D100" s="28" t="n">
        <v>2</v>
      </c>
      <c r="E100" s="28" t="n">
        <v>2</v>
      </c>
      <c r="F100" s="38" t="s">
        <v>1906</v>
      </c>
      <c r="G100" s="28" t="s">
        <v>431</v>
      </c>
      <c r="H100" s="27" t="s">
        <v>434</v>
      </c>
      <c r="I100" s="27" t="s">
        <v>1907</v>
      </c>
      <c r="J100" s="31" t="s">
        <v>1908</v>
      </c>
      <c r="K100" s="27" t="s">
        <v>1909</v>
      </c>
    </row>
    <row r="101" customFormat="false" ht="30" hidden="false" customHeight="true" outlineLevel="0" collapsed="false">
      <c r="A101" s="28" t="s">
        <v>94</v>
      </c>
      <c r="B101" s="37" t="s">
        <v>62</v>
      </c>
      <c r="C101" s="28" t="n">
        <v>1</v>
      </c>
      <c r="D101" s="28" t="n">
        <v>3</v>
      </c>
      <c r="E101" s="28" t="n">
        <v>1</v>
      </c>
      <c r="F101" s="38" t="s">
        <v>1910</v>
      </c>
      <c r="G101" s="28" t="s">
        <v>441</v>
      </c>
      <c r="H101" s="27" t="s">
        <v>444</v>
      </c>
      <c r="I101" s="27" t="s">
        <v>1911</v>
      </c>
      <c r="J101" s="27" t="s">
        <v>1912</v>
      </c>
      <c r="K101" s="27" t="s">
        <v>1913</v>
      </c>
    </row>
    <row r="102" customFormat="false" ht="39" hidden="false" customHeight="true" outlineLevel="0" collapsed="false">
      <c r="A102" s="28" t="s">
        <v>94</v>
      </c>
      <c r="B102" s="37" t="s">
        <v>62</v>
      </c>
      <c r="C102" s="28" t="n">
        <v>1</v>
      </c>
      <c r="D102" s="28" t="n">
        <v>3</v>
      </c>
      <c r="E102" s="28" t="n">
        <v>2</v>
      </c>
      <c r="F102" s="38" t="s">
        <v>1914</v>
      </c>
      <c r="G102" s="28" t="s">
        <v>441</v>
      </c>
      <c r="H102" s="27" t="s">
        <v>444</v>
      </c>
      <c r="I102" s="27" t="s">
        <v>1915</v>
      </c>
      <c r="J102" s="27" t="s">
        <v>1916</v>
      </c>
      <c r="K102" s="27" t="s">
        <v>1917</v>
      </c>
    </row>
    <row r="103" customFormat="false" ht="30" hidden="false" customHeight="true" outlineLevel="0" collapsed="false">
      <c r="A103" s="28" t="s">
        <v>94</v>
      </c>
      <c r="B103" s="37" t="s">
        <v>62</v>
      </c>
      <c r="C103" s="28" t="n">
        <v>1</v>
      </c>
      <c r="D103" s="28" t="n">
        <v>3</v>
      </c>
      <c r="E103" s="28" t="n">
        <v>3</v>
      </c>
      <c r="F103" s="38" t="s">
        <v>1918</v>
      </c>
      <c r="G103" s="28" t="s">
        <v>441</v>
      </c>
      <c r="H103" s="27" t="s">
        <v>444</v>
      </c>
      <c r="I103" s="27" t="s">
        <v>1919</v>
      </c>
      <c r="J103" s="27" t="s">
        <v>1920</v>
      </c>
      <c r="K103" s="27" t="s">
        <v>1921</v>
      </c>
    </row>
    <row r="104" customFormat="false" ht="39" hidden="false" customHeight="true" outlineLevel="0" collapsed="false">
      <c r="A104" s="28" t="s">
        <v>94</v>
      </c>
      <c r="B104" s="37" t="s">
        <v>62</v>
      </c>
      <c r="C104" s="28" t="n">
        <v>1</v>
      </c>
      <c r="D104" s="28" t="n">
        <v>4</v>
      </c>
      <c r="E104" s="28" t="n">
        <v>1</v>
      </c>
      <c r="F104" s="38" t="s">
        <v>1922</v>
      </c>
      <c r="G104" s="28" t="s">
        <v>450</v>
      </c>
      <c r="H104" s="27" t="s">
        <v>453</v>
      </c>
      <c r="I104" s="27" t="s">
        <v>1923</v>
      </c>
      <c r="J104" s="31" t="s">
        <v>1924</v>
      </c>
      <c r="K104" s="27" t="s">
        <v>1925</v>
      </c>
    </row>
    <row r="105" customFormat="false" ht="39" hidden="false" customHeight="true" outlineLevel="0" collapsed="false">
      <c r="A105" s="28" t="s">
        <v>94</v>
      </c>
      <c r="B105" s="37" t="s">
        <v>62</v>
      </c>
      <c r="C105" s="28" t="n">
        <v>1</v>
      </c>
      <c r="D105" s="28" t="n">
        <v>4</v>
      </c>
      <c r="E105" s="28" t="n">
        <v>2</v>
      </c>
      <c r="F105" s="38" t="s">
        <v>1926</v>
      </c>
      <c r="G105" s="28" t="s">
        <v>450</v>
      </c>
      <c r="H105" s="27" t="s">
        <v>453</v>
      </c>
      <c r="I105" s="27" t="s">
        <v>1927</v>
      </c>
      <c r="J105" s="31" t="s">
        <v>1928</v>
      </c>
      <c r="K105" s="27" t="s">
        <v>1929</v>
      </c>
    </row>
    <row r="106" customFormat="false" ht="39" hidden="false" customHeight="true" outlineLevel="0" collapsed="false">
      <c r="A106" s="28" t="s">
        <v>94</v>
      </c>
      <c r="B106" s="37" t="s">
        <v>62</v>
      </c>
      <c r="C106" s="28" t="n">
        <v>1</v>
      </c>
      <c r="D106" s="28" t="n">
        <v>4</v>
      </c>
      <c r="E106" s="28" t="n">
        <v>3</v>
      </c>
      <c r="F106" s="38" t="s">
        <v>1930</v>
      </c>
      <c r="G106" s="28" t="s">
        <v>450</v>
      </c>
      <c r="H106" s="27" t="s">
        <v>453</v>
      </c>
      <c r="I106" s="27" t="s">
        <v>1931</v>
      </c>
      <c r="J106" s="31" t="s">
        <v>1932</v>
      </c>
      <c r="K106" s="27" t="s">
        <v>1933</v>
      </c>
    </row>
    <row r="107" customFormat="false" ht="30" hidden="false" customHeight="true" outlineLevel="0" collapsed="false">
      <c r="A107" s="28" t="s">
        <v>94</v>
      </c>
      <c r="B107" s="37" t="s">
        <v>62</v>
      </c>
      <c r="C107" s="28" t="n">
        <v>2</v>
      </c>
      <c r="D107" s="28" t="n">
        <v>1</v>
      </c>
      <c r="E107" s="28" t="n">
        <v>1</v>
      </c>
      <c r="F107" s="38" t="s">
        <v>938</v>
      </c>
      <c r="G107" s="28" t="s">
        <v>458</v>
      </c>
      <c r="H107" s="27" t="s">
        <v>461</v>
      </c>
      <c r="I107" s="27" t="s">
        <v>1934</v>
      </c>
      <c r="J107" s="27" t="s">
        <v>1935</v>
      </c>
      <c r="K107" s="27" t="s">
        <v>1936</v>
      </c>
    </row>
    <row r="108" customFormat="false" ht="30" hidden="false" customHeight="true" outlineLevel="0" collapsed="false">
      <c r="A108" s="28" t="s">
        <v>94</v>
      </c>
      <c r="B108" s="37" t="s">
        <v>62</v>
      </c>
      <c r="C108" s="28" t="n">
        <v>2</v>
      </c>
      <c r="D108" s="28" t="n">
        <v>1</v>
      </c>
      <c r="E108" s="28" t="n">
        <v>2</v>
      </c>
      <c r="F108" s="38" t="s">
        <v>1937</v>
      </c>
      <c r="G108" s="28" t="s">
        <v>458</v>
      </c>
      <c r="H108" s="27" t="s">
        <v>461</v>
      </c>
      <c r="I108" s="27" t="s">
        <v>1938</v>
      </c>
      <c r="J108" s="27" t="s">
        <v>1939</v>
      </c>
      <c r="K108" s="27" t="s">
        <v>1940</v>
      </c>
    </row>
    <row r="109" customFormat="false" ht="39" hidden="false" customHeight="true" outlineLevel="0" collapsed="false">
      <c r="A109" s="28" t="s">
        <v>94</v>
      </c>
      <c r="B109" s="37" t="s">
        <v>62</v>
      </c>
      <c r="C109" s="28" t="n">
        <v>2</v>
      </c>
      <c r="D109" s="28" t="n">
        <v>2</v>
      </c>
      <c r="E109" s="28" t="n">
        <v>1</v>
      </c>
      <c r="F109" s="38" t="s">
        <v>1941</v>
      </c>
      <c r="G109" s="28" t="s">
        <v>469</v>
      </c>
      <c r="H109" s="27" t="s">
        <v>472</v>
      </c>
      <c r="I109" s="27" t="s">
        <v>1942</v>
      </c>
      <c r="J109" s="27" t="s">
        <v>1943</v>
      </c>
      <c r="K109" s="27" t="s">
        <v>1944</v>
      </c>
    </row>
    <row r="110" customFormat="false" ht="39" hidden="false" customHeight="true" outlineLevel="0" collapsed="false">
      <c r="A110" s="28" t="s">
        <v>94</v>
      </c>
      <c r="B110" s="37" t="s">
        <v>62</v>
      </c>
      <c r="C110" s="28" t="n">
        <v>2</v>
      </c>
      <c r="D110" s="28" t="n">
        <v>2</v>
      </c>
      <c r="E110" s="28" t="n">
        <v>2</v>
      </c>
      <c r="F110" s="38" t="s">
        <v>1945</v>
      </c>
      <c r="G110" s="28" t="s">
        <v>469</v>
      </c>
      <c r="H110" s="27" t="s">
        <v>472</v>
      </c>
      <c r="I110" s="27" t="s">
        <v>1946</v>
      </c>
      <c r="J110" s="27" t="s">
        <v>1947</v>
      </c>
      <c r="K110" s="27" t="s">
        <v>1948</v>
      </c>
    </row>
    <row r="111" customFormat="false" ht="30" hidden="false" customHeight="true" outlineLevel="0" collapsed="false">
      <c r="A111" s="28" t="s">
        <v>94</v>
      </c>
      <c r="B111" s="37" t="s">
        <v>62</v>
      </c>
      <c r="C111" s="28" t="n">
        <v>2</v>
      </c>
      <c r="D111" s="28" t="n">
        <v>3</v>
      </c>
      <c r="E111" s="28" t="n">
        <v>1</v>
      </c>
      <c r="F111" s="38" t="s">
        <v>1949</v>
      </c>
      <c r="G111" s="28" t="s">
        <v>479</v>
      </c>
      <c r="H111" s="27" t="s">
        <v>482</v>
      </c>
      <c r="I111" s="27" t="s">
        <v>1950</v>
      </c>
      <c r="J111" s="27" t="s">
        <v>1951</v>
      </c>
      <c r="K111" s="27" t="s">
        <v>1952</v>
      </c>
    </row>
    <row r="112" customFormat="false" ht="78" hidden="false" customHeight="true" outlineLevel="0" collapsed="false">
      <c r="A112" s="28" t="s">
        <v>94</v>
      </c>
      <c r="B112" s="37" t="s">
        <v>62</v>
      </c>
      <c r="C112" s="28" t="n">
        <v>2</v>
      </c>
      <c r="D112" s="28" t="n">
        <v>3</v>
      </c>
      <c r="E112" s="28" t="n">
        <v>2</v>
      </c>
      <c r="F112" s="38" t="s">
        <v>1953</v>
      </c>
      <c r="G112" s="28" t="s">
        <v>479</v>
      </c>
      <c r="H112" s="27" t="s">
        <v>482</v>
      </c>
      <c r="I112" s="27" t="s">
        <v>1954</v>
      </c>
      <c r="J112" s="27" t="s">
        <v>1955</v>
      </c>
      <c r="K112" s="27" t="s">
        <v>1956</v>
      </c>
    </row>
    <row r="113" customFormat="false" ht="30" hidden="false" customHeight="true" outlineLevel="0" collapsed="false">
      <c r="A113" s="28" t="s">
        <v>94</v>
      </c>
      <c r="B113" s="37" t="s">
        <v>62</v>
      </c>
      <c r="C113" s="28" t="n">
        <v>2</v>
      </c>
      <c r="D113" s="28" t="n">
        <v>4</v>
      </c>
      <c r="E113" s="28" t="n">
        <v>1</v>
      </c>
      <c r="F113" s="38" t="s">
        <v>1957</v>
      </c>
      <c r="G113" s="28" t="s">
        <v>488</v>
      </c>
      <c r="H113" s="27" t="s">
        <v>491</v>
      </c>
      <c r="I113" s="27" t="s">
        <v>1958</v>
      </c>
      <c r="J113" s="31" t="s">
        <v>1959</v>
      </c>
      <c r="K113" s="31" t="s">
        <v>1960</v>
      </c>
    </row>
    <row r="114" customFormat="false" ht="30" hidden="false" customHeight="true" outlineLevel="0" collapsed="false">
      <c r="A114" s="28" t="s">
        <v>94</v>
      </c>
      <c r="B114" s="37" t="s">
        <v>62</v>
      </c>
      <c r="C114" s="28" t="n">
        <v>2</v>
      </c>
      <c r="D114" s="28" t="n">
        <v>4</v>
      </c>
      <c r="E114" s="28" t="n">
        <v>2</v>
      </c>
      <c r="F114" s="38" t="s">
        <v>1961</v>
      </c>
      <c r="G114" s="28" t="s">
        <v>488</v>
      </c>
      <c r="H114" s="27" t="s">
        <v>491</v>
      </c>
      <c r="I114" s="27" t="s">
        <v>1962</v>
      </c>
      <c r="J114" s="27" t="s">
        <v>1963</v>
      </c>
      <c r="K114" s="27" t="s">
        <v>1964</v>
      </c>
    </row>
    <row r="115" customFormat="false" ht="30" hidden="false" customHeight="true" outlineLevel="0" collapsed="false">
      <c r="A115" s="28" t="s">
        <v>94</v>
      </c>
      <c r="B115" s="37" t="s">
        <v>62</v>
      </c>
      <c r="C115" s="28" t="n">
        <v>3</v>
      </c>
      <c r="D115" s="28" t="n">
        <v>1</v>
      </c>
      <c r="E115" s="28" t="n">
        <v>1</v>
      </c>
      <c r="F115" s="38" t="s">
        <v>1965</v>
      </c>
      <c r="G115" s="28" t="s">
        <v>496</v>
      </c>
      <c r="H115" s="27" t="s">
        <v>499</v>
      </c>
      <c r="I115" s="27" t="s">
        <v>1966</v>
      </c>
      <c r="J115" s="27" t="s">
        <v>1967</v>
      </c>
      <c r="K115" s="27" t="s">
        <v>1968</v>
      </c>
    </row>
    <row r="116" customFormat="false" ht="39" hidden="false" customHeight="true" outlineLevel="0" collapsed="false">
      <c r="A116" s="28" t="s">
        <v>94</v>
      </c>
      <c r="B116" s="37" t="s">
        <v>62</v>
      </c>
      <c r="C116" s="28" t="n">
        <v>3</v>
      </c>
      <c r="D116" s="28" t="n">
        <v>1</v>
      </c>
      <c r="E116" s="28" t="n">
        <v>2</v>
      </c>
      <c r="F116" s="38" t="s">
        <v>1969</v>
      </c>
      <c r="G116" s="28" t="s">
        <v>496</v>
      </c>
      <c r="H116" s="27" t="s">
        <v>499</v>
      </c>
      <c r="I116" s="27" t="s">
        <v>1970</v>
      </c>
      <c r="J116" s="27" t="s">
        <v>1971</v>
      </c>
      <c r="K116" s="27" t="s">
        <v>1972</v>
      </c>
    </row>
    <row r="117" customFormat="false" ht="39" hidden="false" customHeight="true" outlineLevel="0" collapsed="false">
      <c r="A117" s="28" t="s">
        <v>94</v>
      </c>
      <c r="B117" s="37" t="s">
        <v>62</v>
      </c>
      <c r="C117" s="28" t="n">
        <v>3</v>
      </c>
      <c r="D117" s="28" t="n">
        <v>1</v>
      </c>
      <c r="E117" s="28" t="n">
        <v>3</v>
      </c>
      <c r="F117" s="38" t="s">
        <v>1973</v>
      </c>
      <c r="G117" s="28" t="s">
        <v>496</v>
      </c>
      <c r="H117" s="27" t="s">
        <v>499</v>
      </c>
      <c r="I117" s="27" t="s">
        <v>1974</v>
      </c>
      <c r="J117" s="27" t="s">
        <v>1975</v>
      </c>
      <c r="K117" s="27" t="s">
        <v>1976</v>
      </c>
    </row>
    <row r="118" customFormat="false" ht="30" hidden="false" customHeight="true" outlineLevel="0" collapsed="false">
      <c r="A118" s="28" t="s">
        <v>94</v>
      </c>
      <c r="B118" s="37" t="s">
        <v>62</v>
      </c>
      <c r="C118" s="28" t="n">
        <v>3</v>
      </c>
      <c r="D118" s="28" t="n">
        <v>1</v>
      </c>
      <c r="E118" s="28" t="n">
        <v>4</v>
      </c>
      <c r="F118" s="38" t="s">
        <v>1977</v>
      </c>
      <c r="G118" s="28" t="s">
        <v>496</v>
      </c>
      <c r="H118" s="27" t="s">
        <v>499</v>
      </c>
      <c r="I118" s="27" t="s">
        <v>1978</v>
      </c>
      <c r="J118" s="27" t="s">
        <v>1979</v>
      </c>
      <c r="K118" s="27" t="s">
        <v>1980</v>
      </c>
    </row>
    <row r="119" customFormat="false" ht="78" hidden="false" customHeight="true" outlineLevel="0" collapsed="false">
      <c r="A119" s="28" t="s">
        <v>94</v>
      </c>
      <c r="B119" s="37" t="s">
        <v>62</v>
      </c>
      <c r="C119" s="28" t="n">
        <v>3</v>
      </c>
      <c r="D119" s="28" t="n">
        <v>2</v>
      </c>
      <c r="E119" s="28" t="n">
        <v>1</v>
      </c>
      <c r="F119" s="38" t="s">
        <v>1981</v>
      </c>
      <c r="G119" s="28" t="s">
        <v>505</v>
      </c>
      <c r="H119" s="27" t="s">
        <v>508</v>
      </c>
      <c r="I119" s="27" t="s">
        <v>1982</v>
      </c>
      <c r="J119" s="27" t="s">
        <v>1983</v>
      </c>
      <c r="K119" s="27" t="s">
        <v>1984</v>
      </c>
    </row>
    <row r="120" customFormat="false" ht="64.5" hidden="false" customHeight="true" outlineLevel="0" collapsed="false">
      <c r="A120" s="28" t="s">
        <v>94</v>
      </c>
      <c r="B120" s="37" t="s">
        <v>62</v>
      </c>
      <c r="C120" s="28" t="n">
        <v>3</v>
      </c>
      <c r="D120" s="28" t="n">
        <v>2</v>
      </c>
      <c r="E120" s="28" t="n">
        <v>2</v>
      </c>
      <c r="F120" s="38" t="s">
        <v>1985</v>
      </c>
      <c r="G120" s="28" t="s">
        <v>505</v>
      </c>
      <c r="H120" s="27" t="s">
        <v>508</v>
      </c>
      <c r="I120" s="27" t="s">
        <v>1986</v>
      </c>
      <c r="J120" s="27" t="s">
        <v>1987</v>
      </c>
      <c r="K120" s="31" t="s">
        <v>1988</v>
      </c>
    </row>
    <row r="121" customFormat="false" ht="51.75" hidden="false" customHeight="true" outlineLevel="0" collapsed="false">
      <c r="A121" s="28" t="s">
        <v>94</v>
      </c>
      <c r="B121" s="37" t="s">
        <v>62</v>
      </c>
      <c r="C121" s="28" t="n">
        <v>3</v>
      </c>
      <c r="D121" s="28" t="n">
        <v>2</v>
      </c>
      <c r="E121" s="28" t="n">
        <v>3</v>
      </c>
      <c r="F121" s="38" t="s">
        <v>1989</v>
      </c>
      <c r="G121" s="28" t="s">
        <v>505</v>
      </c>
      <c r="H121" s="27" t="s">
        <v>508</v>
      </c>
      <c r="I121" s="27" t="s">
        <v>1990</v>
      </c>
      <c r="J121" s="27" t="s">
        <v>1991</v>
      </c>
      <c r="K121" s="31" t="s">
        <v>1992</v>
      </c>
    </row>
    <row r="122" customFormat="false" ht="64.5" hidden="false" customHeight="true" outlineLevel="0" collapsed="false">
      <c r="A122" s="28" t="s">
        <v>94</v>
      </c>
      <c r="B122" s="37" t="s">
        <v>62</v>
      </c>
      <c r="C122" s="28" t="n">
        <v>3</v>
      </c>
      <c r="D122" s="28" t="n">
        <v>3</v>
      </c>
      <c r="E122" s="28" t="n">
        <v>1</v>
      </c>
      <c r="F122" s="38" t="s">
        <v>1993</v>
      </c>
      <c r="G122" s="28" t="s">
        <v>514</v>
      </c>
      <c r="H122" s="27" t="s">
        <v>517</v>
      </c>
      <c r="I122" s="27" t="s">
        <v>1994</v>
      </c>
      <c r="J122" s="27" t="s">
        <v>1995</v>
      </c>
      <c r="K122" s="27" t="s">
        <v>1996</v>
      </c>
    </row>
    <row r="123" customFormat="false" ht="51.75" hidden="false" customHeight="true" outlineLevel="0" collapsed="false">
      <c r="A123" s="28" t="s">
        <v>94</v>
      </c>
      <c r="B123" s="37" t="s">
        <v>62</v>
      </c>
      <c r="C123" s="28" t="n">
        <v>3</v>
      </c>
      <c r="D123" s="28" t="n">
        <v>3</v>
      </c>
      <c r="E123" s="28" t="n">
        <v>2</v>
      </c>
      <c r="F123" s="38" t="s">
        <v>1997</v>
      </c>
      <c r="G123" s="28" t="s">
        <v>514</v>
      </c>
      <c r="H123" s="27" t="s">
        <v>517</v>
      </c>
      <c r="I123" s="27" t="s">
        <v>1998</v>
      </c>
      <c r="J123" s="27" t="s">
        <v>1999</v>
      </c>
      <c r="K123" s="31" t="s">
        <v>2000</v>
      </c>
    </row>
    <row r="124" customFormat="false" ht="64.5" hidden="false" customHeight="true" outlineLevel="0" collapsed="false">
      <c r="A124" s="28" t="s">
        <v>94</v>
      </c>
      <c r="B124" s="37" t="s">
        <v>62</v>
      </c>
      <c r="C124" s="28" t="n">
        <v>3</v>
      </c>
      <c r="D124" s="28" t="n">
        <v>3</v>
      </c>
      <c r="E124" s="28" t="n">
        <v>3</v>
      </c>
      <c r="F124" s="38" t="s">
        <v>2001</v>
      </c>
      <c r="G124" s="28" t="s">
        <v>514</v>
      </c>
      <c r="H124" s="27" t="s">
        <v>517</v>
      </c>
      <c r="I124" s="27" t="s">
        <v>2002</v>
      </c>
      <c r="J124" s="27" t="s">
        <v>2003</v>
      </c>
      <c r="K124" s="27" t="s">
        <v>2004</v>
      </c>
    </row>
    <row r="125" customFormat="false" ht="78" hidden="false" customHeight="true" outlineLevel="0" collapsed="false">
      <c r="A125" s="28" t="s">
        <v>94</v>
      </c>
      <c r="B125" s="37" t="s">
        <v>62</v>
      </c>
      <c r="C125" s="28" t="n">
        <v>3</v>
      </c>
      <c r="D125" s="28" t="n">
        <v>3</v>
      </c>
      <c r="E125" s="28" t="n">
        <v>4</v>
      </c>
      <c r="F125" s="38" t="s">
        <v>2005</v>
      </c>
      <c r="G125" s="28" t="s">
        <v>514</v>
      </c>
      <c r="H125" s="27" t="s">
        <v>517</v>
      </c>
      <c r="I125" s="27" t="s">
        <v>2006</v>
      </c>
      <c r="J125" s="27" t="s">
        <v>2007</v>
      </c>
      <c r="K125" s="27" t="s">
        <v>2008</v>
      </c>
    </row>
    <row r="126" customFormat="false" ht="39" hidden="false" customHeight="true" outlineLevel="0" collapsed="false">
      <c r="A126" s="28" t="s">
        <v>94</v>
      </c>
      <c r="B126" s="37" t="s">
        <v>62</v>
      </c>
      <c r="C126" s="28" t="n">
        <v>3</v>
      </c>
      <c r="D126" s="28" t="n">
        <v>4</v>
      </c>
      <c r="E126" s="28" t="n">
        <v>1</v>
      </c>
      <c r="F126" s="38" t="s">
        <v>2009</v>
      </c>
      <c r="G126" s="28" t="s">
        <v>523</v>
      </c>
      <c r="H126" s="27" t="s">
        <v>526</v>
      </c>
      <c r="I126" s="27" t="s">
        <v>2010</v>
      </c>
      <c r="J126" s="27" t="s">
        <v>2011</v>
      </c>
      <c r="K126" s="27" t="s">
        <v>2012</v>
      </c>
    </row>
    <row r="127" customFormat="false" ht="30" hidden="false" customHeight="true" outlineLevel="0" collapsed="false">
      <c r="A127" s="28" t="s">
        <v>94</v>
      </c>
      <c r="B127" s="37" t="s">
        <v>62</v>
      </c>
      <c r="C127" s="28" t="n">
        <v>3</v>
      </c>
      <c r="D127" s="28" t="n">
        <v>4</v>
      </c>
      <c r="E127" s="28" t="n">
        <v>2</v>
      </c>
      <c r="F127" s="38" t="s">
        <v>2013</v>
      </c>
      <c r="G127" s="28" t="s">
        <v>523</v>
      </c>
      <c r="H127" s="27" t="s">
        <v>526</v>
      </c>
      <c r="I127" s="27" t="s">
        <v>2014</v>
      </c>
      <c r="J127" s="31" t="s">
        <v>2015</v>
      </c>
      <c r="K127" s="31" t="s">
        <v>2015</v>
      </c>
    </row>
    <row r="128" customFormat="false" ht="51.75" hidden="false" customHeight="true" outlineLevel="0" collapsed="false">
      <c r="A128" s="28" t="s">
        <v>94</v>
      </c>
      <c r="B128" s="37" t="s">
        <v>62</v>
      </c>
      <c r="C128" s="28" t="n">
        <v>3</v>
      </c>
      <c r="D128" s="28" t="n">
        <v>4</v>
      </c>
      <c r="E128" s="28" t="n">
        <v>3</v>
      </c>
      <c r="F128" s="38" t="s">
        <v>2016</v>
      </c>
      <c r="G128" s="28" t="s">
        <v>523</v>
      </c>
      <c r="H128" s="27" t="s">
        <v>526</v>
      </c>
      <c r="I128" s="27" t="s">
        <v>2017</v>
      </c>
      <c r="J128" s="27" t="s">
        <v>2018</v>
      </c>
      <c r="K128" s="27" t="s">
        <v>2019</v>
      </c>
    </row>
    <row r="129" customFormat="false" ht="30" hidden="false" customHeight="true" outlineLevel="0" collapsed="false">
      <c r="A129" s="28" t="s">
        <v>94</v>
      </c>
      <c r="B129" s="37" t="s">
        <v>62</v>
      </c>
      <c r="C129" s="28" t="n">
        <v>4</v>
      </c>
      <c r="D129" s="28" t="n">
        <v>1</v>
      </c>
      <c r="E129" s="28" t="n">
        <v>1</v>
      </c>
      <c r="F129" s="38" t="s">
        <v>2020</v>
      </c>
      <c r="G129" s="28" t="s">
        <v>533</v>
      </c>
      <c r="H129" s="27" t="s">
        <v>536</v>
      </c>
      <c r="I129" s="27" t="s">
        <v>2021</v>
      </c>
      <c r="J129" s="31" t="s">
        <v>2015</v>
      </c>
      <c r="K129" s="31" t="s">
        <v>2015</v>
      </c>
    </row>
    <row r="130" customFormat="false" ht="64.5" hidden="false" customHeight="true" outlineLevel="0" collapsed="false">
      <c r="A130" s="28" t="s">
        <v>94</v>
      </c>
      <c r="B130" s="37" t="s">
        <v>62</v>
      </c>
      <c r="C130" s="28" t="n">
        <v>4</v>
      </c>
      <c r="D130" s="28" t="n">
        <v>1</v>
      </c>
      <c r="E130" s="28" t="n">
        <v>2</v>
      </c>
      <c r="F130" s="38" t="s">
        <v>2022</v>
      </c>
      <c r="G130" s="28" t="s">
        <v>533</v>
      </c>
      <c r="H130" s="27" t="s">
        <v>536</v>
      </c>
      <c r="I130" s="27" t="s">
        <v>2023</v>
      </c>
      <c r="J130" s="27" t="s">
        <v>2024</v>
      </c>
      <c r="K130" s="27" t="s">
        <v>2025</v>
      </c>
    </row>
    <row r="131" customFormat="false" ht="30" hidden="false" customHeight="true" outlineLevel="0" collapsed="false">
      <c r="A131" s="28" t="s">
        <v>94</v>
      </c>
      <c r="B131" s="37" t="s">
        <v>62</v>
      </c>
      <c r="C131" s="28" t="n">
        <v>4</v>
      </c>
      <c r="D131" s="28" t="n">
        <v>1</v>
      </c>
      <c r="E131" s="28" t="n">
        <v>3</v>
      </c>
      <c r="F131" s="38" t="s">
        <v>2026</v>
      </c>
      <c r="G131" s="28" t="s">
        <v>533</v>
      </c>
      <c r="H131" s="27" t="s">
        <v>536</v>
      </c>
      <c r="I131" s="27" t="s">
        <v>2027</v>
      </c>
      <c r="J131" s="31" t="s">
        <v>2015</v>
      </c>
      <c r="K131" s="31" t="s">
        <v>2015</v>
      </c>
    </row>
    <row r="132" customFormat="false" ht="64.5" hidden="false" customHeight="true" outlineLevel="0" collapsed="false">
      <c r="A132" s="28" t="s">
        <v>94</v>
      </c>
      <c r="B132" s="37" t="s">
        <v>62</v>
      </c>
      <c r="C132" s="28" t="n">
        <v>4</v>
      </c>
      <c r="D132" s="28" t="n">
        <v>1</v>
      </c>
      <c r="E132" s="28" t="n">
        <v>4</v>
      </c>
      <c r="F132" s="38" t="s">
        <v>2028</v>
      </c>
      <c r="G132" s="28" t="s">
        <v>533</v>
      </c>
      <c r="H132" s="27" t="s">
        <v>536</v>
      </c>
      <c r="I132" s="27" t="s">
        <v>2029</v>
      </c>
      <c r="J132" s="27" t="s">
        <v>2030</v>
      </c>
      <c r="K132" s="27" t="s">
        <v>2031</v>
      </c>
    </row>
    <row r="133" customFormat="false" ht="64.5" hidden="false" customHeight="true" outlineLevel="0" collapsed="false">
      <c r="A133" s="28" t="s">
        <v>94</v>
      </c>
      <c r="B133" s="37" t="s">
        <v>62</v>
      </c>
      <c r="C133" s="28" t="n">
        <v>4</v>
      </c>
      <c r="D133" s="28" t="n">
        <v>2</v>
      </c>
      <c r="E133" s="28" t="n">
        <v>1</v>
      </c>
      <c r="F133" s="38" t="s">
        <v>2032</v>
      </c>
      <c r="G133" s="28" t="s">
        <v>542</v>
      </c>
      <c r="H133" s="27" t="s">
        <v>545</v>
      </c>
      <c r="I133" s="27" t="s">
        <v>2033</v>
      </c>
      <c r="J133" s="27" t="s">
        <v>2034</v>
      </c>
      <c r="K133" s="27" t="s">
        <v>2035</v>
      </c>
    </row>
    <row r="134" customFormat="false" ht="30" hidden="false" customHeight="true" outlineLevel="0" collapsed="false">
      <c r="A134" s="28" t="s">
        <v>94</v>
      </c>
      <c r="B134" s="37" t="s">
        <v>62</v>
      </c>
      <c r="C134" s="28" t="n">
        <v>4</v>
      </c>
      <c r="D134" s="28" t="n">
        <v>2</v>
      </c>
      <c r="E134" s="28" t="n">
        <v>2</v>
      </c>
      <c r="F134" s="38" t="s">
        <v>2036</v>
      </c>
      <c r="G134" s="28" t="s">
        <v>542</v>
      </c>
      <c r="H134" s="27" t="s">
        <v>545</v>
      </c>
      <c r="I134" s="27" t="s">
        <v>2037</v>
      </c>
      <c r="J134" s="27" t="s">
        <v>2038</v>
      </c>
      <c r="K134" s="27" t="s">
        <v>2039</v>
      </c>
    </row>
    <row r="135" customFormat="false" ht="51.75" hidden="false" customHeight="true" outlineLevel="0" collapsed="false">
      <c r="A135" s="28" t="s">
        <v>94</v>
      </c>
      <c r="B135" s="37" t="s">
        <v>62</v>
      </c>
      <c r="C135" s="28" t="n">
        <v>4</v>
      </c>
      <c r="D135" s="28" t="n">
        <v>2</v>
      </c>
      <c r="E135" s="28" t="n">
        <v>3</v>
      </c>
      <c r="F135" s="38" t="s">
        <v>2040</v>
      </c>
      <c r="G135" s="28" t="s">
        <v>542</v>
      </c>
      <c r="H135" s="27" t="s">
        <v>545</v>
      </c>
      <c r="I135" s="27" t="s">
        <v>2041</v>
      </c>
      <c r="J135" s="27" t="s">
        <v>2042</v>
      </c>
      <c r="K135" s="31" t="s">
        <v>2043</v>
      </c>
    </row>
    <row r="136" customFormat="false" ht="39" hidden="false" customHeight="true" outlineLevel="0" collapsed="false">
      <c r="A136" s="28" t="s">
        <v>94</v>
      </c>
      <c r="B136" s="37" t="s">
        <v>62</v>
      </c>
      <c r="C136" s="28" t="n">
        <v>4</v>
      </c>
      <c r="D136" s="28" t="n">
        <v>3</v>
      </c>
      <c r="E136" s="28" t="n">
        <v>1</v>
      </c>
      <c r="F136" s="38" t="s">
        <v>2044</v>
      </c>
      <c r="G136" s="28" t="s">
        <v>551</v>
      </c>
      <c r="H136" s="27" t="s">
        <v>554</v>
      </c>
      <c r="I136" s="27" t="s">
        <v>2045</v>
      </c>
      <c r="J136" s="27" t="s">
        <v>2046</v>
      </c>
      <c r="K136" s="27" t="s">
        <v>2047</v>
      </c>
    </row>
    <row r="137" customFormat="false" ht="39" hidden="false" customHeight="true" outlineLevel="0" collapsed="false">
      <c r="A137" s="28" t="s">
        <v>94</v>
      </c>
      <c r="B137" s="37" t="s">
        <v>62</v>
      </c>
      <c r="C137" s="28" t="n">
        <v>4</v>
      </c>
      <c r="D137" s="28" t="n">
        <v>3</v>
      </c>
      <c r="E137" s="28" t="n">
        <v>2</v>
      </c>
      <c r="F137" s="38" t="s">
        <v>2048</v>
      </c>
      <c r="G137" s="28" t="s">
        <v>551</v>
      </c>
      <c r="H137" s="27" t="s">
        <v>554</v>
      </c>
      <c r="I137" s="27" t="s">
        <v>2049</v>
      </c>
      <c r="J137" s="27" t="s">
        <v>2050</v>
      </c>
      <c r="K137" s="31" t="s">
        <v>2051</v>
      </c>
    </row>
    <row r="138" customFormat="false" ht="39" hidden="false" customHeight="true" outlineLevel="0" collapsed="false">
      <c r="A138" s="28" t="s">
        <v>94</v>
      </c>
      <c r="B138" s="37" t="s">
        <v>62</v>
      </c>
      <c r="C138" s="28" t="n">
        <v>4</v>
      </c>
      <c r="D138" s="28" t="n">
        <v>3</v>
      </c>
      <c r="E138" s="28" t="n">
        <v>3</v>
      </c>
      <c r="F138" s="38" t="s">
        <v>2052</v>
      </c>
      <c r="G138" s="28" t="s">
        <v>551</v>
      </c>
      <c r="H138" s="27" t="s">
        <v>554</v>
      </c>
      <c r="I138" s="27" t="s">
        <v>2053</v>
      </c>
      <c r="J138" s="27" t="s">
        <v>2054</v>
      </c>
      <c r="K138" s="27" t="s">
        <v>2055</v>
      </c>
    </row>
    <row r="139" customFormat="false" ht="39" hidden="false" customHeight="true" outlineLevel="0" collapsed="false">
      <c r="A139" s="28" t="s">
        <v>94</v>
      </c>
      <c r="B139" s="37" t="s">
        <v>62</v>
      </c>
      <c r="C139" s="28" t="n">
        <v>4</v>
      </c>
      <c r="D139" s="28" t="n">
        <v>3</v>
      </c>
      <c r="E139" s="28" t="n">
        <v>4</v>
      </c>
      <c r="F139" s="38" t="s">
        <v>2056</v>
      </c>
      <c r="G139" s="28" t="s">
        <v>551</v>
      </c>
      <c r="H139" s="27" t="s">
        <v>554</v>
      </c>
      <c r="I139" s="27" t="s">
        <v>2057</v>
      </c>
      <c r="J139" s="27" t="s">
        <v>2058</v>
      </c>
      <c r="K139" s="27" t="s">
        <v>2059</v>
      </c>
    </row>
    <row r="140" customFormat="false" ht="90.75" hidden="false" customHeight="true" outlineLevel="0" collapsed="false">
      <c r="A140" s="28" t="s">
        <v>94</v>
      </c>
      <c r="B140" s="37" t="s">
        <v>62</v>
      </c>
      <c r="C140" s="28" t="n">
        <v>4</v>
      </c>
      <c r="D140" s="28" t="n">
        <v>4</v>
      </c>
      <c r="E140" s="28" t="n">
        <v>1</v>
      </c>
      <c r="F140" s="38" t="s">
        <v>2060</v>
      </c>
      <c r="G140" s="28" t="s">
        <v>559</v>
      </c>
      <c r="H140" s="27" t="s">
        <v>562</v>
      </c>
      <c r="I140" s="27" t="s">
        <v>2061</v>
      </c>
      <c r="J140" s="27" t="s">
        <v>2062</v>
      </c>
      <c r="K140" s="27" t="s">
        <v>2063</v>
      </c>
    </row>
    <row r="141" customFormat="false" ht="30" hidden="false" customHeight="true" outlineLevel="0" collapsed="false">
      <c r="A141" s="28" t="s">
        <v>94</v>
      </c>
      <c r="B141" s="37" t="s">
        <v>62</v>
      </c>
      <c r="C141" s="28" t="n">
        <v>4</v>
      </c>
      <c r="D141" s="28" t="n">
        <v>4</v>
      </c>
      <c r="E141" s="28" t="n">
        <v>2</v>
      </c>
      <c r="F141" s="38" t="s">
        <v>2064</v>
      </c>
      <c r="G141" s="28" t="s">
        <v>559</v>
      </c>
      <c r="H141" s="27" t="s">
        <v>562</v>
      </c>
      <c r="I141" s="27" t="s">
        <v>2065</v>
      </c>
      <c r="J141" s="27" t="s">
        <v>2066</v>
      </c>
      <c r="K141" s="27" t="s">
        <v>2067</v>
      </c>
    </row>
    <row r="142" customFormat="false" ht="78" hidden="false" customHeight="true" outlineLevel="0" collapsed="false">
      <c r="A142" s="28" t="s">
        <v>94</v>
      </c>
      <c r="B142" s="37" t="s">
        <v>62</v>
      </c>
      <c r="C142" s="28" t="n">
        <v>4</v>
      </c>
      <c r="D142" s="28" t="n">
        <v>4</v>
      </c>
      <c r="E142" s="28" t="n">
        <v>3</v>
      </c>
      <c r="F142" s="38" t="s">
        <v>2068</v>
      </c>
      <c r="G142" s="28" t="s">
        <v>559</v>
      </c>
      <c r="H142" s="27" t="s">
        <v>562</v>
      </c>
      <c r="I142" s="27" t="s">
        <v>2069</v>
      </c>
      <c r="J142" s="27" t="s">
        <v>2070</v>
      </c>
      <c r="K142" s="27" t="s">
        <v>2071</v>
      </c>
    </row>
    <row r="143" customFormat="false" ht="30" hidden="false" customHeight="true" outlineLevel="0" collapsed="false">
      <c r="A143" s="28" t="s">
        <v>94</v>
      </c>
      <c r="B143" s="32" t="s">
        <v>63</v>
      </c>
      <c r="C143" s="28" t="n">
        <v>1</v>
      </c>
      <c r="D143" s="28" t="n">
        <v>1</v>
      </c>
      <c r="E143" s="28" t="n">
        <v>1</v>
      </c>
      <c r="F143" s="38" t="s">
        <v>2072</v>
      </c>
      <c r="G143" s="28" t="s">
        <v>567</v>
      </c>
      <c r="H143" s="27" t="s">
        <v>570</v>
      </c>
      <c r="I143" s="27" t="s">
        <v>2073</v>
      </c>
      <c r="J143" s="27" t="s">
        <v>2074</v>
      </c>
      <c r="K143" s="27" t="s">
        <v>2075</v>
      </c>
    </row>
    <row r="144" customFormat="false" ht="30" hidden="false" customHeight="true" outlineLevel="0" collapsed="false">
      <c r="A144" s="28" t="s">
        <v>94</v>
      </c>
      <c r="B144" s="32" t="s">
        <v>63</v>
      </c>
      <c r="C144" s="28" t="n">
        <v>1</v>
      </c>
      <c r="D144" s="28" t="n">
        <v>1</v>
      </c>
      <c r="E144" s="28" t="n">
        <v>2</v>
      </c>
      <c r="F144" s="38" t="s">
        <v>2076</v>
      </c>
      <c r="G144" s="28" t="s">
        <v>567</v>
      </c>
      <c r="H144" s="27" t="s">
        <v>570</v>
      </c>
      <c r="I144" s="27" t="s">
        <v>2077</v>
      </c>
      <c r="J144" s="27" t="s">
        <v>2078</v>
      </c>
      <c r="K144" s="27" t="s">
        <v>2079</v>
      </c>
    </row>
    <row r="145" customFormat="false" ht="30" hidden="false" customHeight="true" outlineLevel="0" collapsed="false">
      <c r="A145" s="28" t="s">
        <v>94</v>
      </c>
      <c r="B145" s="32" t="s">
        <v>63</v>
      </c>
      <c r="C145" s="28" t="n">
        <v>1</v>
      </c>
      <c r="D145" s="28" t="n">
        <v>1</v>
      </c>
      <c r="E145" s="28" t="n">
        <v>3</v>
      </c>
      <c r="F145" s="38" t="s">
        <v>2080</v>
      </c>
      <c r="G145" s="28" t="s">
        <v>567</v>
      </c>
      <c r="H145" s="27" t="s">
        <v>570</v>
      </c>
      <c r="I145" s="27" t="s">
        <v>2081</v>
      </c>
      <c r="J145" s="27" t="s">
        <v>2082</v>
      </c>
      <c r="K145" s="27" t="s">
        <v>2083</v>
      </c>
    </row>
    <row r="146" customFormat="false" ht="39" hidden="false" customHeight="true" outlineLevel="0" collapsed="false">
      <c r="A146" s="28" t="s">
        <v>94</v>
      </c>
      <c r="B146" s="32" t="s">
        <v>63</v>
      </c>
      <c r="C146" s="28" t="n">
        <v>1</v>
      </c>
      <c r="D146" s="28" t="n">
        <v>2</v>
      </c>
      <c r="E146" s="28" t="n">
        <v>1</v>
      </c>
      <c r="F146" s="38" t="s">
        <v>2084</v>
      </c>
      <c r="G146" s="28" t="s">
        <v>577</v>
      </c>
      <c r="H146" s="27" t="s">
        <v>580</v>
      </c>
      <c r="I146" s="27" t="s">
        <v>2085</v>
      </c>
      <c r="J146" s="27" t="s">
        <v>2086</v>
      </c>
      <c r="K146" s="27" t="s">
        <v>2087</v>
      </c>
    </row>
    <row r="147" customFormat="false" ht="51.75" hidden="false" customHeight="true" outlineLevel="0" collapsed="false">
      <c r="A147" s="28" t="s">
        <v>94</v>
      </c>
      <c r="B147" s="32" t="s">
        <v>63</v>
      </c>
      <c r="C147" s="28" t="n">
        <v>1</v>
      </c>
      <c r="D147" s="28" t="n">
        <v>2</v>
      </c>
      <c r="E147" s="28" t="n">
        <v>2</v>
      </c>
      <c r="F147" s="38" t="s">
        <v>2088</v>
      </c>
      <c r="G147" s="28" t="s">
        <v>577</v>
      </c>
      <c r="H147" s="27" t="s">
        <v>580</v>
      </c>
      <c r="I147" s="27" t="s">
        <v>2089</v>
      </c>
      <c r="J147" s="27" t="s">
        <v>2090</v>
      </c>
      <c r="K147" s="27" t="s">
        <v>2091</v>
      </c>
    </row>
    <row r="148" customFormat="false" ht="30" hidden="false" customHeight="true" outlineLevel="0" collapsed="false">
      <c r="A148" s="28" t="s">
        <v>94</v>
      </c>
      <c r="B148" s="32" t="s">
        <v>63</v>
      </c>
      <c r="C148" s="28" t="n">
        <v>1</v>
      </c>
      <c r="D148" s="28" t="n">
        <v>3</v>
      </c>
      <c r="E148" s="28" t="n">
        <v>1</v>
      </c>
      <c r="F148" s="38" t="s">
        <v>2092</v>
      </c>
      <c r="G148" s="28" t="s">
        <v>586</v>
      </c>
      <c r="H148" s="27" t="s">
        <v>589</v>
      </c>
      <c r="I148" s="27" t="s">
        <v>2093</v>
      </c>
      <c r="J148" s="27" t="s">
        <v>2094</v>
      </c>
      <c r="K148" s="27" t="s">
        <v>2095</v>
      </c>
    </row>
    <row r="149" customFormat="false" ht="30" hidden="false" customHeight="true" outlineLevel="0" collapsed="false">
      <c r="A149" s="28" t="s">
        <v>94</v>
      </c>
      <c r="B149" s="32" t="s">
        <v>63</v>
      </c>
      <c r="C149" s="28" t="n">
        <v>1</v>
      </c>
      <c r="D149" s="28" t="n">
        <v>3</v>
      </c>
      <c r="E149" s="28" t="n">
        <v>2</v>
      </c>
      <c r="F149" s="38" t="s">
        <v>2096</v>
      </c>
      <c r="G149" s="28" t="s">
        <v>586</v>
      </c>
      <c r="H149" s="27" t="s">
        <v>589</v>
      </c>
      <c r="I149" s="27" t="s">
        <v>2097</v>
      </c>
      <c r="J149" s="31" t="s">
        <v>2098</v>
      </c>
      <c r="K149" s="27" t="s">
        <v>2099</v>
      </c>
    </row>
    <row r="150" customFormat="false" ht="30" hidden="false" customHeight="true" outlineLevel="0" collapsed="false">
      <c r="A150" s="28" t="s">
        <v>94</v>
      </c>
      <c r="B150" s="32" t="s">
        <v>63</v>
      </c>
      <c r="C150" s="28" t="n">
        <v>1</v>
      </c>
      <c r="D150" s="28" t="n">
        <v>3</v>
      </c>
      <c r="E150" s="28" t="n">
        <v>3</v>
      </c>
      <c r="F150" s="38" t="s">
        <v>2100</v>
      </c>
      <c r="G150" s="28" t="s">
        <v>586</v>
      </c>
      <c r="H150" s="27" t="s">
        <v>589</v>
      </c>
      <c r="I150" s="27" t="s">
        <v>2101</v>
      </c>
      <c r="J150" s="27" t="s">
        <v>2102</v>
      </c>
      <c r="K150" s="27" t="s">
        <v>2103</v>
      </c>
    </row>
    <row r="151" customFormat="false" ht="39" hidden="false" customHeight="true" outlineLevel="0" collapsed="false">
      <c r="A151" s="28" t="s">
        <v>94</v>
      </c>
      <c r="B151" s="32" t="s">
        <v>63</v>
      </c>
      <c r="C151" s="28" t="n">
        <v>1</v>
      </c>
      <c r="D151" s="28" t="n">
        <v>4</v>
      </c>
      <c r="E151" s="28" t="n">
        <v>1</v>
      </c>
      <c r="F151" s="38" t="s">
        <v>599</v>
      </c>
      <c r="G151" s="28" t="s">
        <v>595</v>
      </c>
      <c r="H151" s="27" t="s">
        <v>598</v>
      </c>
      <c r="I151" s="27" t="s">
        <v>2104</v>
      </c>
      <c r="J151" s="27" t="s">
        <v>2105</v>
      </c>
      <c r="K151" s="27" t="s">
        <v>2106</v>
      </c>
    </row>
    <row r="152" customFormat="false" ht="39" hidden="false" customHeight="true" outlineLevel="0" collapsed="false">
      <c r="A152" s="28" t="s">
        <v>94</v>
      </c>
      <c r="B152" s="32" t="s">
        <v>63</v>
      </c>
      <c r="C152" s="28" t="n">
        <v>2</v>
      </c>
      <c r="D152" s="28" t="n">
        <v>1</v>
      </c>
      <c r="E152" s="28" t="n">
        <v>1</v>
      </c>
      <c r="F152" s="38" t="s">
        <v>2107</v>
      </c>
      <c r="G152" s="28" t="s">
        <v>604</v>
      </c>
      <c r="H152" s="27" t="s">
        <v>607</v>
      </c>
      <c r="I152" s="27" t="s">
        <v>2108</v>
      </c>
      <c r="J152" s="27" t="s">
        <v>2109</v>
      </c>
      <c r="K152" s="27" t="s">
        <v>2110</v>
      </c>
    </row>
    <row r="153" customFormat="false" ht="51.75" hidden="false" customHeight="true" outlineLevel="0" collapsed="false">
      <c r="A153" s="28" t="s">
        <v>94</v>
      </c>
      <c r="B153" s="32" t="s">
        <v>63</v>
      </c>
      <c r="C153" s="28" t="n">
        <v>2</v>
      </c>
      <c r="D153" s="28" t="n">
        <v>1</v>
      </c>
      <c r="E153" s="28" t="n">
        <v>2</v>
      </c>
      <c r="F153" s="38" t="s">
        <v>2111</v>
      </c>
      <c r="G153" s="28" t="s">
        <v>604</v>
      </c>
      <c r="H153" s="27" t="s">
        <v>607</v>
      </c>
      <c r="I153" s="27" t="s">
        <v>2112</v>
      </c>
      <c r="J153" s="27" t="s">
        <v>2113</v>
      </c>
      <c r="K153" s="27" t="s">
        <v>2114</v>
      </c>
    </row>
    <row r="154" customFormat="false" ht="39" hidden="false" customHeight="true" outlineLevel="0" collapsed="false">
      <c r="A154" s="28" t="s">
        <v>94</v>
      </c>
      <c r="B154" s="32" t="s">
        <v>63</v>
      </c>
      <c r="C154" s="28" t="n">
        <v>2</v>
      </c>
      <c r="D154" s="28" t="n">
        <v>1</v>
      </c>
      <c r="E154" s="28" t="n">
        <v>3</v>
      </c>
      <c r="F154" s="38" t="s">
        <v>2115</v>
      </c>
      <c r="G154" s="28" t="s">
        <v>604</v>
      </c>
      <c r="H154" s="27" t="s">
        <v>607</v>
      </c>
      <c r="I154" s="27" t="s">
        <v>2116</v>
      </c>
      <c r="J154" s="27" t="s">
        <v>2117</v>
      </c>
      <c r="K154" s="27" t="s">
        <v>2118</v>
      </c>
    </row>
    <row r="155" customFormat="false" ht="39" hidden="false" customHeight="true" outlineLevel="0" collapsed="false">
      <c r="A155" s="28" t="s">
        <v>94</v>
      </c>
      <c r="B155" s="32" t="s">
        <v>63</v>
      </c>
      <c r="C155" s="28" t="n">
        <v>2</v>
      </c>
      <c r="D155" s="28" t="n">
        <v>2</v>
      </c>
      <c r="E155" s="28" t="n">
        <v>1</v>
      </c>
      <c r="F155" s="38" t="s">
        <v>2119</v>
      </c>
      <c r="G155" s="28" t="s">
        <v>613</v>
      </c>
      <c r="H155" s="27" t="s">
        <v>616</v>
      </c>
      <c r="I155" s="27" t="s">
        <v>2120</v>
      </c>
      <c r="J155" s="27" t="s">
        <v>2121</v>
      </c>
      <c r="K155" s="27" t="s">
        <v>2122</v>
      </c>
    </row>
    <row r="156" customFormat="false" ht="39" hidden="false" customHeight="true" outlineLevel="0" collapsed="false">
      <c r="A156" s="28" t="s">
        <v>94</v>
      </c>
      <c r="B156" s="32" t="s">
        <v>63</v>
      </c>
      <c r="C156" s="28" t="n">
        <v>2</v>
      </c>
      <c r="D156" s="28" t="n">
        <v>2</v>
      </c>
      <c r="E156" s="28" t="n">
        <v>2</v>
      </c>
      <c r="F156" s="38" t="s">
        <v>2123</v>
      </c>
      <c r="G156" s="28" t="s">
        <v>613</v>
      </c>
      <c r="H156" s="27" t="s">
        <v>616</v>
      </c>
      <c r="I156" s="27" t="s">
        <v>2124</v>
      </c>
      <c r="J156" s="27" t="s">
        <v>2125</v>
      </c>
      <c r="K156" s="27" t="s">
        <v>2126</v>
      </c>
    </row>
    <row r="157" customFormat="false" ht="39" hidden="false" customHeight="true" outlineLevel="0" collapsed="false">
      <c r="A157" s="28" t="s">
        <v>94</v>
      </c>
      <c r="B157" s="32" t="s">
        <v>63</v>
      </c>
      <c r="C157" s="28" t="n">
        <v>2</v>
      </c>
      <c r="D157" s="28" t="n">
        <v>3</v>
      </c>
      <c r="E157" s="28" t="n">
        <v>1</v>
      </c>
      <c r="F157" s="38" t="s">
        <v>627</v>
      </c>
      <c r="G157" s="28" t="s">
        <v>623</v>
      </c>
      <c r="H157" s="27" t="s">
        <v>626</v>
      </c>
      <c r="I157" s="27" t="s">
        <v>2127</v>
      </c>
      <c r="J157" s="31" t="s">
        <v>2128</v>
      </c>
      <c r="K157" s="27" t="s">
        <v>2129</v>
      </c>
    </row>
    <row r="158" customFormat="false" ht="39" hidden="false" customHeight="true" outlineLevel="0" collapsed="false">
      <c r="A158" s="28" t="s">
        <v>94</v>
      </c>
      <c r="B158" s="32" t="s">
        <v>63</v>
      </c>
      <c r="C158" s="28" t="n">
        <v>2</v>
      </c>
      <c r="D158" s="28" t="n">
        <v>4</v>
      </c>
      <c r="E158" s="28" t="n">
        <v>1</v>
      </c>
      <c r="F158" s="38" t="s">
        <v>2130</v>
      </c>
      <c r="G158" s="28" t="s">
        <v>631</v>
      </c>
      <c r="H158" s="27" t="s">
        <v>634</v>
      </c>
      <c r="I158" s="27" t="s">
        <v>2131</v>
      </c>
      <c r="J158" s="27" t="s">
        <v>2132</v>
      </c>
      <c r="K158" s="27" t="s">
        <v>2133</v>
      </c>
    </row>
    <row r="159" customFormat="false" ht="39" hidden="false" customHeight="true" outlineLevel="0" collapsed="false">
      <c r="A159" s="28" t="s">
        <v>94</v>
      </c>
      <c r="B159" s="32" t="s">
        <v>63</v>
      </c>
      <c r="C159" s="28" t="n">
        <v>2</v>
      </c>
      <c r="D159" s="28" t="n">
        <v>4</v>
      </c>
      <c r="E159" s="28" t="n">
        <v>2</v>
      </c>
      <c r="F159" s="38" t="s">
        <v>2134</v>
      </c>
      <c r="G159" s="28" t="s">
        <v>631</v>
      </c>
      <c r="H159" s="27" t="s">
        <v>634</v>
      </c>
      <c r="I159" s="27" t="s">
        <v>2135</v>
      </c>
      <c r="J159" s="27" t="s">
        <v>2136</v>
      </c>
      <c r="K159" s="27" t="s">
        <v>2137</v>
      </c>
    </row>
    <row r="160" customFormat="false" ht="39" hidden="false" customHeight="true" outlineLevel="0" collapsed="false">
      <c r="A160" s="28" t="s">
        <v>94</v>
      </c>
      <c r="B160" s="32" t="s">
        <v>63</v>
      </c>
      <c r="C160" s="28" t="n">
        <v>3</v>
      </c>
      <c r="D160" s="28" t="n">
        <v>1</v>
      </c>
      <c r="E160" s="28" t="n">
        <v>1</v>
      </c>
      <c r="F160" s="38" t="s">
        <v>2138</v>
      </c>
      <c r="G160" s="28" t="s">
        <v>639</v>
      </c>
      <c r="H160" s="27" t="s">
        <v>642</v>
      </c>
      <c r="I160" s="27" t="s">
        <v>2139</v>
      </c>
      <c r="J160" s="27" t="s">
        <v>2140</v>
      </c>
      <c r="K160" s="27" t="s">
        <v>2141</v>
      </c>
    </row>
    <row r="161" customFormat="false" ht="51.75" hidden="false" customHeight="true" outlineLevel="0" collapsed="false">
      <c r="A161" s="28" t="s">
        <v>94</v>
      </c>
      <c r="B161" s="32" t="s">
        <v>63</v>
      </c>
      <c r="C161" s="28" t="n">
        <v>3</v>
      </c>
      <c r="D161" s="28" t="n">
        <v>1</v>
      </c>
      <c r="E161" s="28" t="n">
        <v>2</v>
      </c>
      <c r="F161" s="38" t="s">
        <v>2142</v>
      </c>
      <c r="G161" s="28" t="s">
        <v>639</v>
      </c>
      <c r="H161" s="27" t="s">
        <v>642</v>
      </c>
      <c r="I161" s="27" t="s">
        <v>2143</v>
      </c>
      <c r="J161" s="31" t="s">
        <v>2144</v>
      </c>
      <c r="K161" s="27" t="s">
        <v>2145</v>
      </c>
    </row>
    <row r="162" customFormat="false" ht="39" hidden="false" customHeight="true" outlineLevel="0" collapsed="false">
      <c r="A162" s="28" t="s">
        <v>94</v>
      </c>
      <c r="B162" s="32" t="s">
        <v>63</v>
      </c>
      <c r="C162" s="28" t="n">
        <v>3</v>
      </c>
      <c r="D162" s="28" t="n">
        <v>1</v>
      </c>
      <c r="E162" s="28" t="n">
        <v>3</v>
      </c>
      <c r="F162" s="38" t="s">
        <v>2146</v>
      </c>
      <c r="G162" s="28" t="s">
        <v>639</v>
      </c>
      <c r="H162" s="27" t="s">
        <v>642</v>
      </c>
      <c r="I162" s="27" t="s">
        <v>2147</v>
      </c>
      <c r="J162" s="31" t="s">
        <v>2148</v>
      </c>
      <c r="K162" s="27" t="s">
        <v>2149</v>
      </c>
    </row>
    <row r="163" customFormat="false" ht="51.75" hidden="false" customHeight="true" outlineLevel="0" collapsed="false">
      <c r="A163" s="28" t="s">
        <v>94</v>
      </c>
      <c r="B163" s="32" t="s">
        <v>63</v>
      </c>
      <c r="C163" s="28" t="n">
        <v>3</v>
      </c>
      <c r="D163" s="28" t="n">
        <v>1</v>
      </c>
      <c r="E163" s="28" t="n">
        <v>4</v>
      </c>
      <c r="F163" s="38" t="s">
        <v>2150</v>
      </c>
      <c r="G163" s="28" t="s">
        <v>639</v>
      </c>
      <c r="H163" s="27" t="s">
        <v>642</v>
      </c>
      <c r="I163" s="27" t="s">
        <v>2151</v>
      </c>
      <c r="J163" s="31" t="s">
        <v>2152</v>
      </c>
      <c r="K163" s="27" t="s">
        <v>2153</v>
      </c>
    </row>
    <row r="164" customFormat="false" ht="30" hidden="false" customHeight="true" outlineLevel="0" collapsed="false">
      <c r="A164" s="28" t="s">
        <v>94</v>
      </c>
      <c r="B164" s="32" t="s">
        <v>63</v>
      </c>
      <c r="C164" s="28" t="n">
        <v>3</v>
      </c>
      <c r="D164" s="28" t="n">
        <v>2</v>
      </c>
      <c r="E164" s="28" t="n">
        <v>1</v>
      </c>
      <c r="F164" s="38" t="s">
        <v>2154</v>
      </c>
      <c r="G164" s="28" t="s">
        <v>649</v>
      </c>
      <c r="H164" s="27" t="s">
        <v>652</v>
      </c>
      <c r="I164" s="27" t="s">
        <v>2155</v>
      </c>
      <c r="J164" s="27" t="s">
        <v>2156</v>
      </c>
      <c r="K164" s="27" t="s">
        <v>2157</v>
      </c>
    </row>
    <row r="165" customFormat="false" ht="39" hidden="false" customHeight="true" outlineLevel="0" collapsed="false">
      <c r="A165" s="28" t="s">
        <v>94</v>
      </c>
      <c r="B165" s="32" t="s">
        <v>63</v>
      </c>
      <c r="C165" s="28" t="n">
        <v>3</v>
      </c>
      <c r="D165" s="28" t="n">
        <v>2</v>
      </c>
      <c r="E165" s="28" t="n">
        <v>2</v>
      </c>
      <c r="F165" s="38" t="s">
        <v>2158</v>
      </c>
      <c r="G165" s="28" t="s">
        <v>649</v>
      </c>
      <c r="H165" s="27" t="s">
        <v>652</v>
      </c>
      <c r="I165" s="27" t="s">
        <v>2159</v>
      </c>
      <c r="J165" s="27" t="s">
        <v>2160</v>
      </c>
      <c r="K165" s="27" t="s">
        <v>2161</v>
      </c>
    </row>
    <row r="166" customFormat="false" ht="39" hidden="false" customHeight="true" outlineLevel="0" collapsed="false">
      <c r="A166" s="28" t="s">
        <v>94</v>
      </c>
      <c r="B166" s="32" t="s">
        <v>63</v>
      </c>
      <c r="C166" s="28" t="n">
        <v>3</v>
      </c>
      <c r="D166" s="28" t="n">
        <v>3</v>
      </c>
      <c r="E166" s="28" t="n">
        <v>1</v>
      </c>
      <c r="F166" s="38" t="s">
        <v>1472</v>
      </c>
      <c r="G166" s="28" t="s">
        <v>658</v>
      </c>
      <c r="H166" s="27" t="s">
        <v>661</v>
      </c>
      <c r="I166" s="27" t="s">
        <v>2162</v>
      </c>
      <c r="J166" s="31" t="s">
        <v>2163</v>
      </c>
      <c r="K166" s="27" t="s">
        <v>2164</v>
      </c>
    </row>
    <row r="167" customFormat="false" ht="64.5" hidden="false" customHeight="true" outlineLevel="0" collapsed="false">
      <c r="A167" s="28" t="s">
        <v>94</v>
      </c>
      <c r="B167" s="32" t="s">
        <v>63</v>
      </c>
      <c r="C167" s="28" t="n">
        <v>3</v>
      </c>
      <c r="D167" s="28" t="n">
        <v>3</v>
      </c>
      <c r="E167" s="28" t="n">
        <v>2</v>
      </c>
      <c r="F167" s="38" t="s">
        <v>2165</v>
      </c>
      <c r="G167" s="28" t="s">
        <v>658</v>
      </c>
      <c r="H167" s="27" t="s">
        <v>661</v>
      </c>
      <c r="I167" s="27" t="s">
        <v>2166</v>
      </c>
      <c r="J167" s="31" t="s">
        <v>2167</v>
      </c>
      <c r="K167" s="27" t="s">
        <v>2168</v>
      </c>
    </row>
    <row r="168" customFormat="false" ht="39" hidden="false" customHeight="true" outlineLevel="0" collapsed="false">
      <c r="A168" s="28" t="s">
        <v>94</v>
      </c>
      <c r="B168" s="32" t="s">
        <v>63</v>
      </c>
      <c r="C168" s="28" t="n">
        <v>3</v>
      </c>
      <c r="D168" s="28" t="n">
        <v>3</v>
      </c>
      <c r="E168" s="28" t="n">
        <v>3</v>
      </c>
      <c r="F168" s="38" t="s">
        <v>2169</v>
      </c>
      <c r="G168" s="28" t="s">
        <v>658</v>
      </c>
      <c r="H168" s="27" t="s">
        <v>661</v>
      </c>
      <c r="I168" s="27" t="s">
        <v>2170</v>
      </c>
      <c r="J168" s="31" t="s">
        <v>2171</v>
      </c>
      <c r="K168" s="27" t="s">
        <v>2172</v>
      </c>
    </row>
    <row r="169" customFormat="false" ht="51.75" hidden="false" customHeight="true" outlineLevel="0" collapsed="false">
      <c r="A169" s="28" t="s">
        <v>94</v>
      </c>
      <c r="B169" s="32" t="s">
        <v>63</v>
      </c>
      <c r="C169" s="28" t="n">
        <v>3</v>
      </c>
      <c r="D169" s="28" t="n">
        <v>3</v>
      </c>
      <c r="E169" s="28" t="n">
        <v>4</v>
      </c>
      <c r="F169" s="38" t="s">
        <v>2173</v>
      </c>
      <c r="G169" s="28" t="s">
        <v>658</v>
      </c>
      <c r="H169" s="27" t="s">
        <v>661</v>
      </c>
      <c r="I169" s="27" t="s">
        <v>2174</v>
      </c>
      <c r="J169" s="31" t="s">
        <v>2175</v>
      </c>
      <c r="K169" s="27" t="s">
        <v>2176</v>
      </c>
    </row>
    <row r="170" customFormat="false" ht="39" hidden="false" customHeight="true" outlineLevel="0" collapsed="false">
      <c r="A170" s="28" t="s">
        <v>94</v>
      </c>
      <c r="B170" s="32" t="s">
        <v>63</v>
      </c>
      <c r="C170" s="28" t="n">
        <v>3</v>
      </c>
      <c r="D170" s="28" t="n">
        <v>4</v>
      </c>
      <c r="E170" s="28" t="n">
        <v>1</v>
      </c>
      <c r="F170" s="38" t="s">
        <v>2177</v>
      </c>
      <c r="G170" s="28" t="s">
        <v>668</v>
      </c>
      <c r="H170" s="27" t="s">
        <v>671</v>
      </c>
      <c r="I170" s="27" t="s">
        <v>2178</v>
      </c>
      <c r="J170" s="31" t="s">
        <v>2179</v>
      </c>
      <c r="K170" s="27" t="s">
        <v>2180</v>
      </c>
    </row>
    <row r="171" customFormat="false" ht="30" hidden="false" customHeight="true" outlineLevel="0" collapsed="false">
      <c r="A171" s="28" t="s">
        <v>94</v>
      </c>
      <c r="B171" s="32" t="s">
        <v>63</v>
      </c>
      <c r="C171" s="28" t="n">
        <v>3</v>
      </c>
      <c r="D171" s="28" t="n">
        <v>4</v>
      </c>
      <c r="E171" s="28" t="n">
        <v>2</v>
      </c>
      <c r="F171" s="38" t="s">
        <v>2181</v>
      </c>
      <c r="G171" s="28" t="s">
        <v>668</v>
      </c>
      <c r="H171" s="27" t="s">
        <v>671</v>
      </c>
      <c r="I171" s="27" t="s">
        <v>2182</v>
      </c>
      <c r="J171" s="31" t="s">
        <v>2183</v>
      </c>
      <c r="K171" s="27" t="s">
        <v>2184</v>
      </c>
    </row>
    <row r="172" customFormat="false" ht="39" hidden="false" customHeight="true" outlineLevel="0" collapsed="false">
      <c r="A172" s="28" t="s">
        <v>94</v>
      </c>
      <c r="B172" s="32" t="s">
        <v>63</v>
      </c>
      <c r="C172" s="28" t="n">
        <v>4</v>
      </c>
      <c r="D172" s="28" t="n">
        <v>1</v>
      </c>
      <c r="E172" s="28" t="n">
        <v>1</v>
      </c>
      <c r="F172" s="38" t="s">
        <v>680</v>
      </c>
      <c r="G172" s="28" t="s">
        <v>676</v>
      </c>
      <c r="H172" s="27" t="s">
        <v>679</v>
      </c>
      <c r="I172" s="27" t="s">
        <v>2185</v>
      </c>
      <c r="J172" s="27" t="s">
        <v>2186</v>
      </c>
      <c r="K172" s="27" t="s">
        <v>2187</v>
      </c>
    </row>
    <row r="173" customFormat="false" ht="30" hidden="false" customHeight="true" outlineLevel="0" collapsed="false">
      <c r="A173" s="28" t="s">
        <v>94</v>
      </c>
      <c r="B173" s="32" t="s">
        <v>63</v>
      </c>
      <c r="C173" s="28" t="n">
        <v>4</v>
      </c>
      <c r="D173" s="28" t="n">
        <v>2</v>
      </c>
      <c r="E173" s="28" t="n">
        <v>1</v>
      </c>
      <c r="F173" s="38" t="s">
        <v>2188</v>
      </c>
      <c r="G173" s="28" t="s">
        <v>684</v>
      </c>
      <c r="H173" s="27" t="s">
        <v>687</v>
      </c>
      <c r="I173" s="27" t="s">
        <v>2189</v>
      </c>
      <c r="J173" s="27" t="s">
        <v>2190</v>
      </c>
      <c r="K173" s="27" t="s">
        <v>2191</v>
      </c>
    </row>
    <row r="174" customFormat="false" ht="39" hidden="false" customHeight="true" outlineLevel="0" collapsed="false">
      <c r="A174" s="28" t="s">
        <v>94</v>
      </c>
      <c r="B174" s="32" t="s">
        <v>63</v>
      </c>
      <c r="C174" s="28" t="n">
        <v>4</v>
      </c>
      <c r="D174" s="28" t="n">
        <v>2</v>
      </c>
      <c r="E174" s="28" t="n">
        <v>2</v>
      </c>
      <c r="F174" s="38" t="s">
        <v>2192</v>
      </c>
      <c r="G174" s="28" t="s">
        <v>684</v>
      </c>
      <c r="H174" s="27" t="s">
        <v>687</v>
      </c>
      <c r="I174" s="27" t="s">
        <v>2193</v>
      </c>
      <c r="J174" s="27" t="s">
        <v>2194</v>
      </c>
      <c r="K174" s="27" t="s">
        <v>2195</v>
      </c>
    </row>
    <row r="175" customFormat="false" ht="39" hidden="false" customHeight="true" outlineLevel="0" collapsed="false">
      <c r="A175" s="28" t="s">
        <v>94</v>
      </c>
      <c r="B175" s="32" t="s">
        <v>63</v>
      </c>
      <c r="C175" s="28" t="n">
        <v>4</v>
      </c>
      <c r="D175" s="28" t="n">
        <v>3</v>
      </c>
      <c r="E175" s="28" t="n">
        <v>1</v>
      </c>
      <c r="F175" s="38" t="s">
        <v>2196</v>
      </c>
      <c r="G175" s="28" t="s">
        <v>693</v>
      </c>
      <c r="H175" s="27" t="s">
        <v>696</v>
      </c>
      <c r="I175" s="27" t="s">
        <v>2197</v>
      </c>
      <c r="J175" s="31" t="s">
        <v>2198</v>
      </c>
      <c r="K175" s="27" t="s">
        <v>2199</v>
      </c>
    </row>
    <row r="176" customFormat="false" ht="39" hidden="false" customHeight="true" outlineLevel="0" collapsed="false">
      <c r="A176" s="28" t="s">
        <v>94</v>
      </c>
      <c r="B176" s="32" t="s">
        <v>63</v>
      </c>
      <c r="C176" s="28" t="n">
        <v>4</v>
      </c>
      <c r="D176" s="28" t="n">
        <v>3</v>
      </c>
      <c r="E176" s="28" t="n">
        <v>2</v>
      </c>
      <c r="F176" s="38" t="s">
        <v>2200</v>
      </c>
      <c r="G176" s="28" t="s">
        <v>693</v>
      </c>
      <c r="H176" s="27" t="s">
        <v>696</v>
      </c>
      <c r="I176" s="27" t="s">
        <v>2201</v>
      </c>
      <c r="J176" s="31" t="s">
        <v>2202</v>
      </c>
      <c r="K176" s="27" t="s">
        <v>2203</v>
      </c>
    </row>
    <row r="177" customFormat="false" ht="39" hidden="false" customHeight="true" outlineLevel="0" collapsed="false">
      <c r="A177" s="28" t="s">
        <v>94</v>
      </c>
      <c r="B177" s="32" t="s">
        <v>63</v>
      </c>
      <c r="C177" s="28" t="n">
        <v>4</v>
      </c>
      <c r="D177" s="28" t="n">
        <v>4</v>
      </c>
      <c r="E177" s="28" t="n">
        <v>1</v>
      </c>
      <c r="F177" s="38" t="s">
        <v>2204</v>
      </c>
      <c r="G177" s="28" t="s">
        <v>701</v>
      </c>
      <c r="H177" s="27" t="s">
        <v>704</v>
      </c>
      <c r="I177" s="27" t="s">
        <v>2205</v>
      </c>
      <c r="J177" s="31" t="s">
        <v>2179</v>
      </c>
      <c r="K177" s="27" t="s">
        <v>2206</v>
      </c>
    </row>
    <row r="178" customFormat="false" ht="39" hidden="false" customHeight="true" outlineLevel="0" collapsed="false">
      <c r="A178" s="28" t="s">
        <v>94</v>
      </c>
      <c r="B178" s="32" t="s">
        <v>63</v>
      </c>
      <c r="C178" s="28" t="n">
        <v>4</v>
      </c>
      <c r="D178" s="28" t="n">
        <v>4</v>
      </c>
      <c r="E178" s="28" t="n">
        <v>2</v>
      </c>
      <c r="F178" s="38" t="s">
        <v>2207</v>
      </c>
      <c r="G178" s="28" t="s">
        <v>701</v>
      </c>
      <c r="H178" s="27" t="s">
        <v>704</v>
      </c>
      <c r="I178" s="27" t="s">
        <v>2208</v>
      </c>
      <c r="J178" s="27" t="s">
        <v>2209</v>
      </c>
      <c r="K178" s="27" t="s">
        <v>2210</v>
      </c>
    </row>
    <row r="179" customFormat="false" ht="39" hidden="false" customHeight="true" outlineLevel="0" collapsed="false">
      <c r="A179" s="28" t="s">
        <v>710</v>
      </c>
      <c r="B179" s="29" t="s">
        <v>60</v>
      </c>
      <c r="C179" s="28" t="n">
        <v>1</v>
      </c>
      <c r="D179" s="28" t="n">
        <v>1</v>
      </c>
      <c r="E179" s="28" t="n">
        <v>1</v>
      </c>
      <c r="F179" s="38" t="s">
        <v>1520</v>
      </c>
      <c r="G179" s="28" t="s">
        <v>709</v>
      </c>
      <c r="H179" s="27" t="s">
        <v>97</v>
      </c>
      <c r="I179" s="27" t="s">
        <v>1521</v>
      </c>
      <c r="J179" s="31" t="s">
        <v>2211</v>
      </c>
      <c r="K179" s="27" t="s">
        <v>2212</v>
      </c>
    </row>
    <row r="180" customFormat="false" ht="39" hidden="false" customHeight="true" outlineLevel="0" collapsed="false">
      <c r="A180" s="28" t="s">
        <v>710</v>
      </c>
      <c r="B180" s="29" t="s">
        <v>60</v>
      </c>
      <c r="C180" s="28" t="n">
        <v>1</v>
      </c>
      <c r="D180" s="28" t="n">
        <v>1</v>
      </c>
      <c r="E180" s="28" t="n">
        <v>2</v>
      </c>
      <c r="F180" s="38" t="s">
        <v>1524</v>
      </c>
      <c r="G180" s="28" t="s">
        <v>709</v>
      </c>
      <c r="H180" s="27" t="s">
        <v>97</v>
      </c>
      <c r="I180" s="27" t="s">
        <v>1525</v>
      </c>
      <c r="J180" s="31" t="s">
        <v>2213</v>
      </c>
      <c r="K180" s="27" t="s">
        <v>2214</v>
      </c>
    </row>
    <row r="181" customFormat="false" ht="39" hidden="false" customHeight="true" outlineLevel="0" collapsed="false">
      <c r="A181" s="28" t="s">
        <v>710</v>
      </c>
      <c r="B181" s="29" t="s">
        <v>60</v>
      </c>
      <c r="C181" s="28" t="n">
        <v>1</v>
      </c>
      <c r="D181" s="28" t="n">
        <v>1</v>
      </c>
      <c r="E181" s="28" t="n">
        <v>3</v>
      </c>
      <c r="F181" s="38" t="s">
        <v>1528</v>
      </c>
      <c r="G181" s="28" t="s">
        <v>709</v>
      </c>
      <c r="H181" s="27" t="s">
        <v>97</v>
      </c>
      <c r="I181" s="27" t="s">
        <v>1529</v>
      </c>
      <c r="J181" s="31" t="s">
        <v>2215</v>
      </c>
      <c r="K181" s="27" t="s">
        <v>2216</v>
      </c>
    </row>
    <row r="182" customFormat="false" ht="30" hidden="false" customHeight="true" outlineLevel="0" collapsed="false">
      <c r="A182" s="28" t="s">
        <v>710</v>
      </c>
      <c r="B182" s="29" t="s">
        <v>60</v>
      </c>
      <c r="C182" s="28" t="n">
        <v>1</v>
      </c>
      <c r="D182" s="28" t="n">
        <v>2</v>
      </c>
      <c r="E182" s="28" t="n">
        <v>1</v>
      </c>
      <c r="F182" s="38" t="s">
        <v>1532</v>
      </c>
      <c r="G182" s="28" t="s">
        <v>711</v>
      </c>
      <c r="H182" s="27" t="s">
        <v>108</v>
      </c>
      <c r="I182" s="27" t="s">
        <v>1533</v>
      </c>
      <c r="J182" s="27" t="s">
        <v>2217</v>
      </c>
      <c r="K182" s="27" t="s">
        <v>2218</v>
      </c>
    </row>
    <row r="183" customFormat="false" ht="30" hidden="false" customHeight="true" outlineLevel="0" collapsed="false">
      <c r="A183" s="28" t="s">
        <v>710</v>
      </c>
      <c r="B183" s="29" t="s">
        <v>60</v>
      </c>
      <c r="C183" s="28" t="n">
        <v>1</v>
      </c>
      <c r="D183" s="28" t="n">
        <v>2</v>
      </c>
      <c r="E183" s="28" t="n">
        <v>2</v>
      </c>
      <c r="F183" s="38" t="s">
        <v>1536</v>
      </c>
      <c r="G183" s="28" t="s">
        <v>711</v>
      </c>
      <c r="H183" s="27" t="s">
        <v>108</v>
      </c>
      <c r="I183" s="27" t="s">
        <v>1537</v>
      </c>
      <c r="J183" s="27" t="s">
        <v>2217</v>
      </c>
      <c r="K183" s="27" t="s">
        <v>2219</v>
      </c>
    </row>
    <row r="184" customFormat="false" ht="30" hidden="false" customHeight="true" outlineLevel="0" collapsed="false">
      <c r="A184" s="28" t="s">
        <v>710</v>
      </c>
      <c r="B184" s="29" t="s">
        <v>60</v>
      </c>
      <c r="C184" s="28" t="n">
        <v>1</v>
      </c>
      <c r="D184" s="28" t="n">
        <v>3</v>
      </c>
      <c r="E184" s="28" t="n">
        <v>1</v>
      </c>
      <c r="F184" s="38" t="s">
        <v>1539</v>
      </c>
      <c r="G184" s="28" t="s">
        <v>712</v>
      </c>
      <c r="H184" s="27" t="s">
        <v>715</v>
      </c>
      <c r="I184" s="27" t="s">
        <v>2220</v>
      </c>
      <c r="J184" s="27" t="s">
        <v>2221</v>
      </c>
      <c r="K184" s="27" t="s">
        <v>1592</v>
      </c>
    </row>
    <row r="185" customFormat="false" ht="30" hidden="false" customHeight="true" outlineLevel="0" collapsed="false">
      <c r="A185" s="28" t="s">
        <v>710</v>
      </c>
      <c r="B185" s="29" t="s">
        <v>60</v>
      </c>
      <c r="C185" s="28" t="n">
        <v>1</v>
      </c>
      <c r="D185" s="28" t="n">
        <v>3</v>
      </c>
      <c r="E185" s="28" t="n">
        <v>2</v>
      </c>
      <c r="F185" s="38" t="s">
        <v>1543</v>
      </c>
      <c r="G185" s="28" t="s">
        <v>712</v>
      </c>
      <c r="H185" s="27" t="s">
        <v>715</v>
      </c>
      <c r="I185" s="27" t="s">
        <v>2222</v>
      </c>
      <c r="J185" s="27" t="s">
        <v>2223</v>
      </c>
      <c r="K185" s="27" t="s">
        <v>2224</v>
      </c>
    </row>
    <row r="186" customFormat="false" ht="39" hidden="false" customHeight="true" outlineLevel="0" collapsed="false">
      <c r="A186" s="28" t="s">
        <v>710</v>
      </c>
      <c r="B186" s="29" t="s">
        <v>60</v>
      </c>
      <c r="C186" s="28" t="n">
        <v>1</v>
      </c>
      <c r="D186" s="28" t="n">
        <v>4</v>
      </c>
      <c r="E186" s="28" t="n">
        <v>1</v>
      </c>
      <c r="F186" s="38" t="s">
        <v>723</v>
      </c>
      <c r="G186" s="28" t="s">
        <v>719</v>
      </c>
      <c r="H186" s="27" t="s">
        <v>722</v>
      </c>
      <c r="I186" s="27" t="s">
        <v>2225</v>
      </c>
      <c r="J186" s="31" t="s">
        <v>2226</v>
      </c>
      <c r="K186" s="27" t="s">
        <v>2227</v>
      </c>
    </row>
    <row r="187" customFormat="false" ht="51.75" hidden="false" customHeight="true" outlineLevel="0" collapsed="false">
      <c r="A187" s="28" t="s">
        <v>710</v>
      </c>
      <c r="B187" s="29" t="s">
        <v>60</v>
      </c>
      <c r="C187" s="28" t="n">
        <v>2</v>
      </c>
      <c r="D187" s="28" t="n">
        <v>1</v>
      </c>
      <c r="E187" s="28" t="n">
        <v>1</v>
      </c>
      <c r="F187" s="38" t="s">
        <v>1558</v>
      </c>
      <c r="G187" s="28" t="s">
        <v>726</v>
      </c>
      <c r="H187" s="27" t="s">
        <v>729</v>
      </c>
      <c r="I187" s="27" t="s">
        <v>2228</v>
      </c>
      <c r="J187" s="27" t="s">
        <v>2229</v>
      </c>
      <c r="K187" s="31" t="s">
        <v>2230</v>
      </c>
    </row>
    <row r="188" customFormat="false" ht="51.75" hidden="false" customHeight="true" outlineLevel="0" collapsed="false">
      <c r="A188" s="28" t="s">
        <v>710</v>
      </c>
      <c r="B188" s="29" t="s">
        <v>60</v>
      </c>
      <c r="C188" s="28" t="n">
        <v>2</v>
      </c>
      <c r="D188" s="28" t="n">
        <v>1</v>
      </c>
      <c r="E188" s="28" t="n">
        <v>2</v>
      </c>
      <c r="F188" s="38" t="s">
        <v>1562</v>
      </c>
      <c r="G188" s="28" t="s">
        <v>726</v>
      </c>
      <c r="H188" s="27" t="s">
        <v>729</v>
      </c>
      <c r="I188" s="27" t="s">
        <v>2231</v>
      </c>
      <c r="J188" s="27" t="s">
        <v>2232</v>
      </c>
      <c r="K188" s="27" t="s">
        <v>2233</v>
      </c>
    </row>
    <row r="189" customFormat="false" ht="51.75" hidden="false" customHeight="true" outlineLevel="0" collapsed="false">
      <c r="A189" s="28" t="s">
        <v>710</v>
      </c>
      <c r="B189" s="29" t="s">
        <v>60</v>
      </c>
      <c r="C189" s="28" t="n">
        <v>2</v>
      </c>
      <c r="D189" s="28" t="n">
        <v>1</v>
      </c>
      <c r="E189" s="28" t="n">
        <v>3</v>
      </c>
      <c r="F189" s="38" t="s">
        <v>1566</v>
      </c>
      <c r="G189" s="28" t="s">
        <v>726</v>
      </c>
      <c r="H189" s="27" t="s">
        <v>729</v>
      </c>
      <c r="I189" s="27" t="s">
        <v>2234</v>
      </c>
      <c r="J189" s="27" t="s">
        <v>2235</v>
      </c>
      <c r="K189" s="27" t="s">
        <v>2236</v>
      </c>
    </row>
    <row r="190" customFormat="false" ht="30" hidden="false" customHeight="true" outlineLevel="0" collapsed="false">
      <c r="A190" s="28" t="s">
        <v>710</v>
      </c>
      <c r="B190" s="29" t="s">
        <v>60</v>
      </c>
      <c r="C190" s="28" t="n">
        <v>2</v>
      </c>
      <c r="D190" s="28" t="n">
        <v>2</v>
      </c>
      <c r="E190" s="28" t="n">
        <v>1</v>
      </c>
      <c r="F190" s="38" t="s">
        <v>147</v>
      </c>
      <c r="G190" s="28" t="s">
        <v>734</v>
      </c>
      <c r="H190" s="27" t="s">
        <v>737</v>
      </c>
      <c r="I190" s="27" t="s">
        <v>2237</v>
      </c>
      <c r="J190" s="27" t="s">
        <v>2238</v>
      </c>
      <c r="K190" s="27" t="s">
        <v>1572</v>
      </c>
    </row>
    <row r="191" customFormat="false" ht="39" hidden="false" customHeight="true" outlineLevel="0" collapsed="false">
      <c r="A191" s="28" t="s">
        <v>710</v>
      </c>
      <c r="B191" s="29" t="s">
        <v>60</v>
      </c>
      <c r="C191" s="28" t="n">
        <v>2</v>
      </c>
      <c r="D191" s="28" t="n">
        <v>3</v>
      </c>
      <c r="E191" s="28" t="n">
        <v>1</v>
      </c>
      <c r="F191" s="38" t="s">
        <v>1573</v>
      </c>
      <c r="G191" s="28" t="s">
        <v>741</v>
      </c>
      <c r="H191" s="27" t="s">
        <v>744</v>
      </c>
      <c r="I191" s="27" t="s">
        <v>2239</v>
      </c>
      <c r="J191" s="27" t="s">
        <v>2240</v>
      </c>
      <c r="K191" s="27" t="s">
        <v>2241</v>
      </c>
    </row>
    <row r="192" customFormat="false" ht="30" hidden="false" customHeight="true" outlineLevel="0" collapsed="false">
      <c r="A192" s="28" t="s">
        <v>710</v>
      </c>
      <c r="B192" s="29" t="s">
        <v>60</v>
      </c>
      <c r="C192" s="28" t="n">
        <v>2</v>
      </c>
      <c r="D192" s="28" t="n">
        <v>3</v>
      </c>
      <c r="E192" s="28" t="n">
        <v>2</v>
      </c>
      <c r="F192" s="38" t="s">
        <v>1577</v>
      </c>
      <c r="G192" s="28" t="s">
        <v>741</v>
      </c>
      <c r="H192" s="27" t="s">
        <v>744</v>
      </c>
      <c r="I192" s="27" t="s">
        <v>2242</v>
      </c>
      <c r="J192" s="31" t="s">
        <v>2243</v>
      </c>
      <c r="K192" s="27" t="s">
        <v>2244</v>
      </c>
    </row>
    <row r="193" customFormat="false" ht="51.75" hidden="false" customHeight="true" outlineLevel="0" collapsed="false">
      <c r="A193" s="28" t="s">
        <v>710</v>
      </c>
      <c r="B193" s="29" t="s">
        <v>60</v>
      </c>
      <c r="C193" s="28" t="n">
        <v>2</v>
      </c>
      <c r="D193" s="28" t="n">
        <v>4</v>
      </c>
      <c r="E193" s="28" t="n">
        <v>1</v>
      </c>
      <c r="F193" s="38" t="s">
        <v>1581</v>
      </c>
      <c r="G193" s="28" t="s">
        <v>747</v>
      </c>
      <c r="H193" s="27" t="s">
        <v>165</v>
      </c>
      <c r="I193" s="27" t="s">
        <v>2245</v>
      </c>
      <c r="J193" s="31" t="s">
        <v>2246</v>
      </c>
      <c r="K193" s="27" t="s">
        <v>1584</v>
      </c>
    </row>
    <row r="194" customFormat="false" ht="39" hidden="false" customHeight="true" outlineLevel="0" collapsed="false">
      <c r="A194" s="28" t="s">
        <v>710</v>
      </c>
      <c r="B194" s="29" t="s">
        <v>60</v>
      </c>
      <c r="C194" s="28" t="n">
        <v>2</v>
      </c>
      <c r="D194" s="28" t="n">
        <v>4</v>
      </c>
      <c r="E194" s="28" t="n">
        <v>2</v>
      </c>
      <c r="F194" s="38" t="s">
        <v>1585</v>
      </c>
      <c r="G194" s="28" t="s">
        <v>747</v>
      </c>
      <c r="H194" s="27" t="s">
        <v>165</v>
      </c>
      <c r="I194" s="27" t="s">
        <v>2247</v>
      </c>
      <c r="J194" s="27" t="s">
        <v>2248</v>
      </c>
      <c r="K194" s="31" t="s">
        <v>2249</v>
      </c>
    </row>
    <row r="195" customFormat="false" ht="39" hidden="false" customHeight="true" outlineLevel="0" collapsed="false">
      <c r="A195" s="28" t="s">
        <v>710</v>
      </c>
      <c r="B195" s="29" t="s">
        <v>60</v>
      </c>
      <c r="C195" s="28" t="n">
        <v>2</v>
      </c>
      <c r="D195" s="28" t="n">
        <v>4</v>
      </c>
      <c r="E195" s="28" t="n">
        <v>3</v>
      </c>
      <c r="F195" s="38" t="s">
        <v>1589</v>
      </c>
      <c r="G195" s="28" t="s">
        <v>747</v>
      </c>
      <c r="H195" s="27" t="s">
        <v>165</v>
      </c>
      <c r="I195" s="27" t="s">
        <v>2250</v>
      </c>
      <c r="J195" s="27" t="s">
        <v>2251</v>
      </c>
      <c r="K195" s="27" t="s">
        <v>1592</v>
      </c>
    </row>
    <row r="196" customFormat="false" ht="156" hidden="false" customHeight="true" outlineLevel="0" collapsed="false">
      <c r="A196" s="28" t="s">
        <v>710</v>
      </c>
      <c r="B196" s="29" t="s">
        <v>60</v>
      </c>
      <c r="C196" s="28" t="n">
        <v>3</v>
      </c>
      <c r="D196" s="28" t="n">
        <v>1</v>
      </c>
      <c r="E196" s="28" t="n">
        <v>1</v>
      </c>
      <c r="F196" s="38" t="s">
        <v>1593</v>
      </c>
      <c r="G196" s="28" t="s">
        <v>752</v>
      </c>
      <c r="H196" s="27" t="s">
        <v>755</v>
      </c>
      <c r="I196" s="27" t="s">
        <v>2252</v>
      </c>
      <c r="J196" s="27" t="s">
        <v>2253</v>
      </c>
      <c r="K196" s="31" t="s">
        <v>2254</v>
      </c>
    </row>
    <row r="197" customFormat="false" ht="142.5" hidden="false" customHeight="true" outlineLevel="0" collapsed="false">
      <c r="A197" s="28" t="s">
        <v>710</v>
      </c>
      <c r="B197" s="29" t="s">
        <v>60</v>
      </c>
      <c r="C197" s="28" t="n">
        <v>3</v>
      </c>
      <c r="D197" s="28" t="n">
        <v>1</v>
      </c>
      <c r="E197" s="28" t="n">
        <v>2</v>
      </c>
      <c r="F197" s="38" t="s">
        <v>1597</v>
      </c>
      <c r="G197" s="28" t="s">
        <v>752</v>
      </c>
      <c r="H197" s="27" t="s">
        <v>755</v>
      </c>
      <c r="I197" s="27" t="s">
        <v>2255</v>
      </c>
      <c r="J197" s="27" t="s">
        <v>2256</v>
      </c>
      <c r="K197" s="27" t="s">
        <v>2257</v>
      </c>
    </row>
    <row r="198" customFormat="false" ht="78" hidden="false" customHeight="true" outlineLevel="0" collapsed="false">
      <c r="A198" s="28" t="s">
        <v>710</v>
      </c>
      <c r="B198" s="29" t="s">
        <v>60</v>
      </c>
      <c r="C198" s="28" t="n">
        <v>3</v>
      </c>
      <c r="D198" s="28" t="n">
        <v>2</v>
      </c>
      <c r="E198" s="28" t="n">
        <v>1</v>
      </c>
      <c r="F198" s="38" t="s">
        <v>1605</v>
      </c>
      <c r="G198" s="28" t="s">
        <v>760</v>
      </c>
      <c r="H198" s="27" t="s">
        <v>763</v>
      </c>
      <c r="I198" s="27" t="s">
        <v>1606</v>
      </c>
      <c r="J198" s="27" t="s">
        <v>2258</v>
      </c>
      <c r="K198" s="27" t="s">
        <v>2259</v>
      </c>
    </row>
    <row r="199" customFormat="false" ht="64.5" hidden="false" customHeight="true" outlineLevel="0" collapsed="false">
      <c r="A199" s="28" t="s">
        <v>710</v>
      </c>
      <c r="B199" s="29" t="s">
        <v>60</v>
      </c>
      <c r="C199" s="28" t="n">
        <v>3</v>
      </c>
      <c r="D199" s="28" t="n">
        <v>2</v>
      </c>
      <c r="E199" s="28" t="n">
        <v>2</v>
      </c>
      <c r="F199" s="38" t="s">
        <v>1609</v>
      </c>
      <c r="G199" s="28" t="s">
        <v>760</v>
      </c>
      <c r="H199" s="27" t="s">
        <v>763</v>
      </c>
      <c r="I199" s="27" t="s">
        <v>1610</v>
      </c>
      <c r="J199" s="27" t="s">
        <v>2260</v>
      </c>
      <c r="K199" s="27" t="s">
        <v>2261</v>
      </c>
    </row>
    <row r="200" customFormat="false" ht="64.5" hidden="false" customHeight="true" outlineLevel="0" collapsed="false">
      <c r="A200" s="28" t="s">
        <v>710</v>
      </c>
      <c r="B200" s="29" t="s">
        <v>60</v>
      </c>
      <c r="C200" s="28" t="n">
        <v>3</v>
      </c>
      <c r="D200" s="28" t="n">
        <v>2</v>
      </c>
      <c r="E200" s="28" t="n">
        <v>3</v>
      </c>
      <c r="F200" s="38" t="s">
        <v>1613</v>
      </c>
      <c r="G200" s="28" t="s">
        <v>760</v>
      </c>
      <c r="H200" s="27" t="s">
        <v>763</v>
      </c>
      <c r="I200" s="27" t="s">
        <v>1614</v>
      </c>
      <c r="J200" s="27" t="s">
        <v>2262</v>
      </c>
      <c r="K200" s="27" t="s">
        <v>2263</v>
      </c>
    </row>
    <row r="201" customFormat="false" ht="64.5" hidden="false" customHeight="true" outlineLevel="0" collapsed="false">
      <c r="A201" s="28" t="s">
        <v>710</v>
      </c>
      <c r="B201" s="29" t="s">
        <v>60</v>
      </c>
      <c r="C201" s="28" t="n">
        <v>3</v>
      </c>
      <c r="D201" s="28" t="n">
        <v>3</v>
      </c>
      <c r="E201" s="28" t="n">
        <v>1</v>
      </c>
      <c r="F201" s="38" t="s">
        <v>1617</v>
      </c>
      <c r="G201" s="28" t="s">
        <v>765</v>
      </c>
      <c r="H201" s="27" t="s">
        <v>768</v>
      </c>
      <c r="I201" s="27" t="s">
        <v>2264</v>
      </c>
      <c r="J201" s="27" t="s">
        <v>2265</v>
      </c>
      <c r="K201" s="27" t="s">
        <v>2266</v>
      </c>
    </row>
    <row r="202" customFormat="false" ht="78" hidden="false" customHeight="true" outlineLevel="0" collapsed="false">
      <c r="A202" s="28" t="s">
        <v>710</v>
      </c>
      <c r="B202" s="29" t="s">
        <v>60</v>
      </c>
      <c r="C202" s="28" t="n">
        <v>3</v>
      </c>
      <c r="D202" s="28" t="n">
        <v>3</v>
      </c>
      <c r="E202" s="28" t="n">
        <v>2</v>
      </c>
      <c r="F202" s="38" t="s">
        <v>1621</v>
      </c>
      <c r="G202" s="28" t="s">
        <v>765</v>
      </c>
      <c r="H202" s="27" t="s">
        <v>768</v>
      </c>
      <c r="I202" s="27" t="s">
        <v>2267</v>
      </c>
      <c r="J202" s="27" t="s">
        <v>2268</v>
      </c>
      <c r="K202" s="27" t="s">
        <v>2269</v>
      </c>
    </row>
    <row r="203" customFormat="false" ht="64.5" hidden="false" customHeight="true" outlineLevel="0" collapsed="false">
      <c r="A203" s="28" t="s">
        <v>710</v>
      </c>
      <c r="B203" s="29" t="s">
        <v>60</v>
      </c>
      <c r="C203" s="28" t="n">
        <v>3</v>
      </c>
      <c r="D203" s="28" t="n">
        <v>4</v>
      </c>
      <c r="E203" s="28" t="n">
        <v>1</v>
      </c>
      <c r="F203" s="38" t="s">
        <v>1625</v>
      </c>
      <c r="G203" s="28" t="s">
        <v>772</v>
      </c>
      <c r="H203" s="27" t="s">
        <v>775</v>
      </c>
      <c r="I203" s="27" t="s">
        <v>2270</v>
      </c>
      <c r="J203" s="27" t="s">
        <v>2271</v>
      </c>
      <c r="K203" s="27" t="s">
        <v>2272</v>
      </c>
    </row>
    <row r="204" customFormat="false" ht="39" hidden="false" customHeight="true" outlineLevel="0" collapsed="false">
      <c r="A204" s="28" t="s">
        <v>710</v>
      </c>
      <c r="B204" s="29" t="s">
        <v>60</v>
      </c>
      <c r="C204" s="28" t="n">
        <v>3</v>
      </c>
      <c r="D204" s="28" t="n">
        <v>4</v>
      </c>
      <c r="E204" s="28" t="n">
        <v>2</v>
      </c>
      <c r="F204" s="38" t="s">
        <v>1629</v>
      </c>
      <c r="G204" s="28" t="s">
        <v>772</v>
      </c>
      <c r="H204" s="27" t="s">
        <v>775</v>
      </c>
      <c r="I204" s="27" t="s">
        <v>2273</v>
      </c>
      <c r="J204" s="27" t="s">
        <v>2274</v>
      </c>
      <c r="K204" s="27" t="s">
        <v>2275</v>
      </c>
    </row>
    <row r="205" customFormat="false" ht="90.75" hidden="false" customHeight="true" outlineLevel="0" collapsed="false">
      <c r="A205" s="28" t="s">
        <v>710</v>
      </c>
      <c r="B205" s="29" t="s">
        <v>60</v>
      </c>
      <c r="C205" s="28" t="n">
        <v>4</v>
      </c>
      <c r="D205" s="28" t="n">
        <v>1</v>
      </c>
      <c r="E205" s="28" t="n">
        <v>1</v>
      </c>
      <c r="F205" s="38" t="s">
        <v>1633</v>
      </c>
      <c r="G205" s="28" t="s">
        <v>779</v>
      </c>
      <c r="H205" s="27" t="s">
        <v>782</v>
      </c>
      <c r="I205" s="27" t="s">
        <v>2276</v>
      </c>
      <c r="J205" s="27" t="s">
        <v>2277</v>
      </c>
      <c r="K205" s="27" t="s">
        <v>2278</v>
      </c>
    </row>
    <row r="206" customFormat="false" ht="51.75" hidden="false" customHeight="true" outlineLevel="0" collapsed="false">
      <c r="A206" s="28" t="s">
        <v>710</v>
      </c>
      <c r="B206" s="29" t="s">
        <v>60</v>
      </c>
      <c r="C206" s="28" t="n">
        <v>4</v>
      </c>
      <c r="D206" s="28" t="n">
        <v>1</v>
      </c>
      <c r="E206" s="28" t="n">
        <v>2</v>
      </c>
      <c r="F206" s="38" t="s">
        <v>1637</v>
      </c>
      <c r="G206" s="28" t="s">
        <v>779</v>
      </c>
      <c r="H206" s="27" t="s">
        <v>782</v>
      </c>
      <c r="I206" s="27" t="s">
        <v>2279</v>
      </c>
      <c r="J206" s="27" t="s">
        <v>2280</v>
      </c>
      <c r="K206" s="27" t="s">
        <v>2281</v>
      </c>
    </row>
    <row r="207" customFormat="false" ht="64.5" hidden="false" customHeight="true" outlineLevel="0" collapsed="false">
      <c r="A207" s="28" t="s">
        <v>710</v>
      </c>
      <c r="B207" s="29" t="s">
        <v>60</v>
      </c>
      <c r="C207" s="28" t="n">
        <v>4</v>
      </c>
      <c r="D207" s="28" t="n">
        <v>2</v>
      </c>
      <c r="E207" s="28" t="n">
        <v>1</v>
      </c>
      <c r="F207" s="38" t="s">
        <v>1641</v>
      </c>
      <c r="G207" s="28" t="s">
        <v>788</v>
      </c>
      <c r="H207" s="27" t="s">
        <v>791</v>
      </c>
      <c r="I207" s="27" t="s">
        <v>2282</v>
      </c>
      <c r="J207" s="27" t="s">
        <v>2283</v>
      </c>
      <c r="K207" s="27" t="s">
        <v>2284</v>
      </c>
    </row>
    <row r="208" customFormat="false" ht="90.75" hidden="false" customHeight="true" outlineLevel="0" collapsed="false">
      <c r="A208" s="28" t="s">
        <v>710</v>
      </c>
      <c r="B208" s="29" t="s">
        <v>60</v>
      </c>
      <c r="C208" s="28" t="n">
        <v>4</v>
      </c>
      <c r="D208" s="28" t="n">
        <v>2</v>
      </c>
      <c r="E208" s="28" t="n">
        <v>2</v>
      </c>
      <c r="F208" s="38" t="s">
        <v>1645</v>
      </c>
      <c r="G208" s="28" t="s">
        <v>788</v>
      </c>
      <c r="H208" s="27" t="s">
        <v>791</v>
      </c>
      <c r="I208" s="27" t="s">
        <v>2285</v>
      </c>
      <c r="J208" s="27" t="s">
        <v>2286</v>
      </c>
      <c r="K208" s="31" t="s">
        <v>2287</v>
      </c>
    </row>
    <row r="209" customFormat="false" ht="103.5" hidden="false" customHeight="true" outlineLevel="0" collapsed="false">
      <c r="A209" s="28" t="s">
        <v>710</v>
      </c>
      <c r="B209" s="29" t="s">
        <v>60</v>
      </c>
      <c r="C209" s="28" t="n">
        <v>4</v>
      </c>
      <c r="D209" s="28" t="n">
        <v>3</v>
      </c>
      <c r="E209" s="28" t="n">
        <v>1</v>
      </c>
      <c r="F209" s="38" t="s">
        <v>1653</v>
      </c>
      <c r="G209" s="28" t="s">
        <v>796</v>
      </c>
      <c r="H209" s="27" t="s">
        <v>799</v>
      </c>
      <c r="I209" s="27" t="s">
        <v>2288</v>
      </c>
      <c r="J209" s="27" t="s">
        <v>2289</v>
      </c>
      <c r="K209" s="27" t="s">
        <v>2290</v>
      </c>
    </row>
    <row r="210" customFormat="false" ht="117" hidden="false" customHeight="true" outlineLevel="0" collapsed="false">
      <c r="A210" s="28" t="s">
        <v>710</v>
      </c>
      <c r="B210" s="29" t="s">
        <v>60</v>
      </c>
      <c r="C210" s="28" t="n">
        <v>4</v>
      </c>
      <c r="D210" s="28" t="n">
        <v>3</v>
      </c>
      <c r="E210" s="28" t="n">
        <v>2</v>
      </c>
      <c r="F210" s="38" t="s">
        <v>1657</v>
      </c>
      <c r="G210" s="28" t="s">
        <v>796</v>
      </c>
      <c r="H210" s="27" t="s">
        <v>799</v>
      </c>
      <c r="I210" s="27" t="s">
        <v>2291</v>
      </c>
      <c r="J210" s="27" t="s">
        <v>2292</v>
      </c>
      <c r="K210" s="27" t="s">
        <v>2293</v>
      </c>
    </row>
    <row r="211" customFormat="false" ht="103.5" hidden="false" customHeight="true" outlineLevel="0" collapsed="false">
      <c r="A211" s="28" t="s">
        <v>710</v>
      </c>
      <c r="B211" s="29" t="s">
        <v>60</v>
      </c>
      <c r="C211" s="28" t="n">
        <v>4</v>
      </c>
      <c r="D211" s="28" t="n">
        <v>3</v>
      </c>
      <c r="E211" s="28" t="n">
        <v>3</v>
      </c>
      <c r="F211" s="38" t="s">
        <v>1661</v>
      </c>
      <c r="G211" s="28" t="s">
        <v>796</v>
      </c>
      <c r="H211" s="27" t="s">
        <v>799</v>
      </c>
      <c r="I211" s="27" t="s">
        <v>2294</v>
      </c>
      <c r="J211" s="27" t="s">
        <v>2295</v>
      </c>
      <c r="K211" s="27" t="s">
        <v>2296</v>
      </c>
    </row>
    <row r="212" customFormat="false" ht="64.5" hidden="false" customHeight="true" outlineLevel="0" collapsed="false">
      <c r="A212" s="28" t="s">
        <v>710</v>
      </c>
      <c r="B212" s="29" t="s">
        <v>60</v>
      </c>
      <c r="C212" s="28" t="n">
        <v>4</v>
      </c>
      <c r="D212" s="28" t="n">
        <v>4</v>
      </c>
      <c r="E212" s="28" t="n">
        <v>1</v>
      </c>
      <c r="F212" s="38" t="s">
        <v>806</v>
      </c>
      <c r="G212" s="28" t="s">
        <v>802</v>
      </c>
      <c r="H212" s="27" t="s">
        <v>805</v>
      </c>
      <c r="I212" s="27" t="s">
        <v>2297</v>
      </c>
      <c r="J212" s="27" t="s">
        <v>2298</v>
      </c>
      <c r="K212" s="31" t="s">
        <v>2299</v>
      </c>
    </row>
    <row r="213" customFormat="false" ht="30" hidden="false" customHeight="true" outlineLevel="0" collapsed="false">
      <c r="A213" s="28" t="s">
        <v>710</v>
      </c>
      <c r="B213" s="36" t="s">
        <v>61</v>
      </c>
      <c r="C213" s="28" t="n">
        <v>1</v>
      </c>
      <c r="D213" s="28" t="n">
        <v>1</v>
      </c>
      <c r="E213" s="28" t="n">
        <v>1</v>
      </c>
      <c r="F213" s="38" t="s">
        <v>1672</v>
      </c>
      <c r="G213" s="28" t="s">
        <v>811</v>
      </c>
      <c r="H213" s="27" t="s">
        <v>250</v>
      </c>
      <c r="I213" s="27" t="s">
        <v>1673</v>
      </c>
      <c r="J213" s="31" t="s">
        <v>1674</v>
      </c>
      <c r="K213" s="31" t="s">
        <v>2300</v>
      </c>
    </row>
    <row r="214" customFormat="false" ht="30" hidden="false" customHeight="true" outlineLevel="0" collapsed="false">
      <c r="A214" s="28" t="s">
        <v>710</v>
      </c>
      <c r="B214" s="36" t="s">
        <v>61</v>
      </c>
      <c r="C214" s="28" t="n">
        <v>1</v>
      </c>
      <c r="D214" s="28" t="n">
        <v>1</v>
      </c>
      <c r="E214" s="28" t="n">
        <v>2</v>
      </c>
      <c r="F214" s="38" t="s">
        <v>1676</v>
      </c>
      <c r="G214" s="28" t="s">
        <v>811</v>
      </c>
      <c r="H214" s="27" t="s">
        <v>250</v>
      </c>
      <c r="I214" s="27" t="s">
        <v>2301</v>
      </c>
      <c r="J214" s="27" t="s">
        <v>2302</v>
      </c>
      <c r="K214" s="31" t="s">
        <v>2303</v>
      </c>
    </row>
    <row r="215" customFormat="false" ht="30" hidden="false" customHeight="true" outlineLevel="0" collapsed="false">
      <c r="A215" s="28" t="s">
        <v>710</v>
      </c>
      <c r="B215" s="36" t="s">
        <v>61</v>
      </c>
      <c r="C215" s="28" t="n">
        <v>1</v>
      </c>
      <c r="D215" s="28" t="n">
        <v>1</v>
      </c>
      <c r="E215" s="28" t="n">
        <v>3</v>
      </c>
      <c r="F215" s="38" t="s">
        <v>1680</v>
      </c>
      <c r="G215" s="28" t="s">
        <v>811</v>
      </c>
      <c r="H215" s="27" t="s">
        <v>250</v>
      </c>
      <c r="I215" s="27" t="s">
        <v>1681</v>
      </c>
      <c r="J215" s="31" t="s">
        <v>2304</v>
      </c>
      <c r="K215" s="31" t="s">
        <v>2305</v>
      </c>
    </row>
    <row r="216" customFormat="false" ht="30" hidden="false" customHeight="true" outlineLevel="0" collapsed="false">
      <c r="A216" s="28" t="s">
        <v>710</v>
      </c>
      <c r="B216" s="36" t="s">
        <v>61</v>
      </c>
      <c r="C216" s="28" t="n">
        <v>1</v>
      </c>
      <c r="D216" s="28" t="n">
        <v>2</v>
      </c>
      <c r="E216" s="28" t="n">
        <v>1</v>
      </c>
      <c r="F216" s="38" t="s">
        <v>1684</v>
      </c>
      <c r="G216" s="28" t="s">
        <v>815</v>
      </c>
      <c r="H216" s="27" t="s">
        <v>260</v>
      </c>
      <c r="I216" s="27" t="s">
        <v>1685</v>
      </c>
      <c r="J216" s="31" t="s">
        <v>2306</v>
      </c>
      <c r="K216" s="31" t="s">
        <v>1687</v>
      </c>
    </row>
    <row r="217" customFormat="false" ht="30" hidden="false" customHeight="true" outlineLevel="0" collapsed="false">
      <c r="A217" s="28" t="s">
        <v>710</v>
      </c>
      <c r="B217" s="36" t="s">
        <v>61</v>
      </c>
      <c r="C217" s="28" t="n">
        <v>1</v>
      </c>
      <c r="D217" s="28" t="n">
        <v>2</v>
      </c>
      <c r="E217" s="28" t="n">
        <v>2</v>
      </c>
      <c r="F217" s="38" t="s">
        <v>1688</v>
      </c>
      <c r="G217" s="28" t="s">
        <v>815</v>
      </c>
      <c r="H217" s="27" t="s">
        <v>260</v>
      </c>
      <c r="I217" s="27" t="s">
        <v>1689</v>
      </c>
      <c r="J217" s="31" t="s">
        <v>2307</v>
      </c>
      <c r="K217" s="27" t="s">
        <v>1691</v>
      </c>
    </row>
    <row r="218" customFormat="false" ht="30" hidden="false" customHeight="true" outlineLevel="0" collapsed="false">
      <c r="A218" s="28" t="s">
        <v>710</v>
      </c>
      <c r="B218" s="36" t="s">
        <v>61</v>
      </c>
      <c r="C218" s="28" t="n">
        <v>1</v>
      </c>
      <c r="D218" s="28" t="n">
        <v>3</v>
      </c>
      <c r="E218" s="28" t="n">
        <v>1</v>
      </c>
      <c r="F218" s="38" t="s">
        <v>1692</v>
      </c>
      <c r="G218" s="28" t="s">
        <v>816</v>
      </c>
      <c r="H218" s="27" t="s">
        <v>819</v>
      </c>
      <c r="I218" s="27" t="s">
        <v>2308</v>
      </c>
      <c r="J218" s="31" t="s">
        <v>1694</v>
      </c>
      <c r="K218" s="31" t="s">
        <v>1695</v>
      </c>
    </row>
    <row r="219" customFormat="false" ht="30" hidden="false" customHeight="true" outlineLevel="0" collapsed="false">
      <c r="A219" s="28" t="s">
        <v>710</v>
      </c>
      <c r="B219" s="36" t="s">
        <v>61</v>
      </c>
      <c r="C219" s="28" t="n">
        <v>1</v>
      </c>
      <c r="D219" s="28" t="n">
        <v>3</v>
      </c>
      <c r="E219" s="28" t="n">
        <v>2</v>
      </c>
      <c r="F219" s="38" t="s">
        <v>1696</v>
      </c>
      <c r="G219" s="28" t="s">
        <v>816</v>
      </c>
      <c r="H219" s="27" t="s">
        <v>819</v>
      </c>
      <c r="I219" s="27" t="s">
        <v>2309</v>
      </c>
      <c r="J219" s="31" t="s">
        <v>1698</v>
      </c>
      <c r="K219" s="31" t="s">
        <v>2310</v>
      </c>
    </row>
    <row r="220" customFormat="false" ht="30" hidden="false" customHeight="true" outlineLevel="0" collapsed="false">
      <c r="A220" s="28" t="s">
        <v>710</v>
      </c>
      <c r="B220" s="36" t="s">
        <v>61</v>
      </c>
      <c r="C220" s="28" t="n">
        <v>1</v>
      </c>
      <c r="D220" s="28" t="n">
        <v>3</v>
      </c>
      <c r="E220" s="28" t="n">
        <v>3</v>
      </c>
      <c r="F220" s="38" t="s">
        <v>1700</v>
      </c>
      <c r="G220" s="28" t="s">
        <v>816</v>
      </c>
      <c r="H220" s="27" t="s">
        <v>819</v>
      </c>
      <c r="I220" s="27" t="s">
        <v>2311</v>
      </c>
      <c r="J220" s="31" t="s">
        <v>1702</v>
      </c>
      <c r="K220" s="31" t="s">
        <v>2312</v>
      </c>
    </row>
    <row r="221" customFormat="false" ht="30" hidden="false" customHeight="true" outlineLevel="0" collapsed="false">
      <c r="A221" s="28" t="s">
        <v>710</v>
      </c>
      <c r="B221" s="36" t="s">
        <v>61</v>
      </c>
      <c r="C221" s="28" t="n">
        <v>1</v>
      </c>
      <c r="D221" s="28" t="n">
        <v>4</v>
      </c>
      <c r="E221" s="28" t="n">
        <v>1</v>
      </c>
      <c r="F221" s="38" t="s">
        <v>1704</v>
      </c>
      <c r="G221" s="28" t="s">
        <v>822</v>
      </c>
      <c r="H221" s="27" t="s">
        <v>277</v>
      </c>
      <c r="I221" s="27" t="s">
        <v>2313</v>
      </c>
      <c r="J221" s="31" t="s">
        <v>1706</v>
      </c>
      <c r="K221" s="31" t="s">
        <v>2314</v>
      </c>
    </row>
    <row r="222" customFormat="false" ht="30" hidden="false" customHeight="true" outlineLevel="0" collapsed="false">
      <c r="A222" s="28" t="s">
        <v>710</v>
      </c>
      <c r="B222" s="36" t="s">
        <v>61</v>
      </c>
      <c r="C222" s="28" t="n">
        <v>1</v>
      </c>
      <c r="D222" s="28" t="n">
        <v>4</v>
      </c>
      <c r="E222" s="28" t="n">
        <v>2</v>
      </c>
      <c r="F222" s="38" t="s">
        <v>1708</v>
      </c>
      <c r="G222" s="28" t="s">
        <v>822</v>
      </c>
      <c r="H222" s="27" t="s">
        <v>277</v>
      </c>
      <c r="I222" s="27" t="s">
        <v>2315</v>
      </c>
      <c r="J222" s="31" t="s">
        <v>1710</v>
      </c>
      <c r="K222" s="31" t="s">
        <v>1711</v>
      </c>
    </row>
    <row r="223" customFormat="false" ht="30" hidden="false" customHeight="true" outlineLevel="0" collapsed="false">
      <c r="A223" s="28" t="s">
        <v>710</v>
      </c>
      <c r="B223" s="36" t="s">
        <v>61</v>
      </c>
      <c r="C223" s="28" t="n">
        <v>1</v>
      </c>
      <c r="D223" s="28" t="n">
        <v>4</v>
      </c>
      <c r="E223" s="28" t="n">
        <v>3</v>
      </c>
      <c r="F223" s="38" t="s">
        <v>1712</v>
      </c>
      <c r="G223" s="28" t="s">
        <v>822</v>
      </c>
      <c r="H223" s="27" t="s">
        <v>277</v>
      </c>
      <c r="I223" s="27" t="s">
        <v>2316</v>
      </c>
      <c r="J223" s="31" t="s">
        <v>2317</v>
      </c>
      <c r="K223" s="31" t="s">
        <v>2318</v>
      </c>
    </row>
    <row r="224" customFormat="false" ht="30" hidden="false" customHeight="true" outlineLevel="0" collapsed="false">
      <c r="A224" s="28" t="s">
        <v>710</v>
      </c>
      <c r="B224" s="36" t="s">
        <v>61</v>
      </c>
      <c r="C224" s="28" t="n">
        <v>1</v>
      </c>
      <c r="D224" s="28" t="n">
        <v>5</v>
      </c>
      <c r="E224" s="28" t="n">
        <v>1</v>
      </c>
      <c r="F224" s="38" t="s">
        <v>1716</v>
      </c>
      <c r="G224" s="28" t="s">
        <v>825</v>
      </c>
      <c r="H224" s="27" t="s">
        <v>286</v>
      </c>
      <c r="I224" s="27" t="s">
        <v>1717</v>
      </c>
      <c r="J224" s="27" t="s">
        <v>2319</v>
      </c>
      <c r="K224" s="27" t="s">
        <v>2320</v>
      </c>
    </row>
    <row r="225" customFormat="false" ht="39" hidden="false" customHeight="true" outlineLevel="0" collapsed="false">
      <c r="A225" s="28" t="s">
        <v>710</v>
      </c>
      <c r="B225" s="36" t="s">
        <v>61</v>
      </c>
      <c r="C225" s="28" t="n">
        <v>1</v>
      </c>
      <c r="D225" s="28" t="n">
        <v>5</v>
      </c>
      <c r="E225" s="28" t="n">
        <v>2</v>
      </c>
      <c r="F225" s="38" t="s">
        <v>1720</v>
      </c>
      <c r="G225" s="28" t="s">
        <v>825</v>
      </c>
      <c r="H225" s="27" t="s">
        <v>286</v>
      </c>
      <c r="I225" s="27" t="s">
        <v>1721</v>
      </c>
      <c r="J225" s="27" t="s">
        <v>2321</v>
      </c>
      <c r="K225" s="31" t="s">
        <v>2322</v>
      </c>
    </row>
    <row r="226" customFormat="false" ht="30" hidden="false" customHeight="true" outlineLevel="0" collapsed="false">
      <c r="A226" s="28" t="s">
        <v>710</v>
      </c>
      <c r="B226" s="36" t="s">
        <v>61</v>
      </c>
      <c r="C226" s="28" t="n">
        <v>2</v>
      </c>
      <c r="D226" s="28" t="n">
        <v>1</v>
      </c>
      <c r="E226" s="28" t="n">
        <v>1</v>
      </c>
      <c r="F226" s="38" t="s">
        <v>1724</v>
      </c>
      <c r="G226" s="28" t="s">
        <v>826</v>
      </c>
      <c r="H226" s="27" t="s">
        <v>829</v>
      </c>
      <c r="I226" s="27" t="s">
        <v>2323</v>
      </c>
      <c r="J226" s="27" t="s">
        <v>2324</v>
      </c>
      <c r="K226" s="31" t="s">
        <v>2325</v>
      </c>
    </row>
    <row r="227" customFormat="false" ht="30" hidden="false" customHeight="true" outlineLevel="0" collapsed="false">
      <c r="A227" s="28" t="s">
        <v>710</v>
      </c>
      <c r="B227" s="36" t="s">
        <v>61</v>
      </c>
      <c r="C227" s="28" t="n">
        <v>2</v>
      </c>
      <c r="D227" s="28" t="n">
        <v>1</v>
      </c>
      <c r="E227" s="28" t="n">
        <v>2</v>
      </c>
      <c r="F227" s="38" t="s">
        <v>1727</v>
      </c>
      <c r="G227" s="28" t="s">
        <v>826</v>
      </c>
      <c r="H227" s="27" t="s">
        <v>829</v>
      </c>
      <c r="I227" s="27" t="s">
        <v>2326</v>
      </c>
      <c r="J227" s="27" t="s">
        <v>2327</v>
      </c>
      <c r="K227" s="31" t="s">
        <v>2328</v>
      </c>
    </row>
    <row r="228" customFormat="false" ht="39" hidden="false" customHeight="true" outlineLevel="0" collapsed="false">
      <c r="A228" s="28" t="s">
        <v>710</v>
      </c>
      <c r="B228" s="36" t="s">
        <v>61</v>
      </c>
      <c r="C228" s="28" t="n">
        <v>2</v>
      </c>
      <c r="D228" s="28" t="n">
        <v>1</v>
      </c>
      <c r="E228" s="28" t="n">
        <v>3</v>
      </c>
      <c r="F228" s="38" t="s">
        <v>1731</v>
      </c>
      <c r="G228" s="28" t="s">
        <v>826</v>
      </c>
      <c r="H228" s="27" t="s">
        <v>829</v>
      </c>
      <c r="I228" s="27" t="s">
        <v>2329</v>
      </c>
      <c r="J228" s="31" t="s">
        <v>2330</v>
      </c>
      <c r="K228" s="31" t="s">
        <v>2331</v>
      </c>
    </row>
    <row r="229" customFormat="false" ht="39" hidden="false" customHeight="true" outlineLevel="0" collapsed="false">
      <c r="A229" s="28" t="s">
        <v>710</v>
      </c>
      <c r="B229" s="36" t="s">
        <v>61</v>
      </c>
      <c r="C229" s="28" t="n">
        <v>2</v>
      </c>
      <c r="D229" s="28" t="n">
        <v>2</v>
      </c>
      <c r="E229" s="28" t="n">
        <v>1</v>
      </c>
      <c r="F229" s="38" t="s">
        <v>1735</v>
      </c>
      <c r="G229" s="28" t="s">
        <v>833</v>
      </c>
      <c r="H229" s="27" t="s">
        <v>836</v>
      </c>
      <c r="I229" s="27" t="s">
        <v>2332</v>
      </c>
      <c r="J229" s="31" t="s">
        <v>2333</v>
      </c>
      <c r="K229" s="31" t="s">
        <v>2334</v>
      </c>
    </row>
    <row r="230" customFormat="false" ht="30" hidden="false" customHeight="true" outlineLevel="0" collapsed="false">
      <c r="A230" s="28" t="s">
        <v>710</v>
      </c>
      <c r="B230" s="36" t="s">
        <v>61</v>
      </c>
      <c r="C230" s="28" t="n">
        <v>2</v>
      </c>
      <c r="D230" s="28" t="n">
        <v>2</v>
      </c>
      <c r="E230" s="28" t="n">
        <v>2</v>
      </c>
      <c r="F230" s="38" t="s">
        <v>1739</v>
      </c>
      <c r="G230" s="28" t="s">
        <v>833</v>
      </c>
      <c r="H230" s="27" t="s">
        <v>836</v>
      </c>
      <c r="I230" s="27" t="s">
        <v>2335</v>
      </c>
      <c r="J230" s="31" t="s">
        <v>2336</v>
      </c>
      <c r="K230" s="31" t="s">
        <v>2337</v>
      </c>
    </row>
    <row r="231" customFormat="false" ht="30" hidden="false" customHeight="true" outlineLevel="0" collapsed="false">
      <c r="A231" s="28" t="s">
        <v>710</v>
      </c>
      <c r="B231" s="36" t="s">
        <v>61</v>
      </c>
      <c r="C231" s="28" t="n">
        <v>2</v>
      </c>
      <c r="D231" s="28" t="n">
        <v>2</v>
      </c>
      <c r="E231" s="28" t="n">
        <v>3</v>
      </c>
      <c r="F231" s="38" t="s">
        <v>1743</v>
      </c>
      <c r="G231" s="28" t="s">
        <v>833</v>
      </c>
      <c r="H231" s="27" t="s">
        <v>836</v>
      </c>
      <c r="I231" s="27" t="s">
        <v>2338</v>
      </c>
      <c r="J231" s="31" t="s">
        <v>2339</v>
      </c>
      <c r="K231" s="31" t="s">
        <v>2340</v>
      </c>
    </row>
    <row r="232" customFormat="false" ht="39" hidden="false" customHeight="true" outlineLevel="0" collapsed="false">
      <c r="A232" s="28" t="s">
        <v>710</v>
      </c>
      <c r="B232" s="36" t="s">
        <v>61</v>
      </c>
      <c r="C232" s="28" t="n">
        <v>2</v>
      </c>
      <c r="D232" s="28" t="n">
        <v>3</v>
      </c>
      <c r="E232" s="28" t="n">
        <v>1</v>
      </c>
      <c r="F232" s="38" t="s">
        <v>1747</v>
      </c>
      <c r="G232" s="28" t="s">
        <v>840</v>
      </c>
      <c r="H232" s="27" t="s">
        <v>843</v>
      </c>
      <c r="I232" s="27" t="s">
        <v>2341</v>
      </c>
      <c r="J232" s="27" t="s">
        <v>2342</v>
      </c>
      <c r="K232" s="27" t="s">
        <v>2343</v>
      </c>
    </row>
    <row r="233" customFormat="false" ht="51.75" hidden="false" customHeight="true" outlineLevel="0" collapsed="false">
      <c r="A233" s="28" t="s">
        <v>710</v>
      </c>
      <c r="B233" s="36" t="s">
        <v>61</v>
      </c>
      <c r="C233" s="28" t="n">
        <v>2</v>
      </c>
      <c r="D233" s="28" t="n">
        <v>3</v>
      </c>
      <c r="E233" s="28" t="n">
        <v>2</v>
      </c>
      <c r="F233" s="38" t="s">
        <v>1751</v>
      </c>
      <c r="G233" s="28" t="s">
        <v>840</v>
      </c>
      <c r="H233" s="27" t="s">
        <v>843</v>
      </c>
      <c r="I233" s="27" t="s">
        <v>2344</v>
      </c>
      <c r="J233" s="27" t="s">
        <v>2345</v>
      </c>
      <c r="K233" s="27" t="s">
        <v>2346</v>
      </c>
    </row>
    <row r="234" customFormat="false" ht="51.75" hidden="false" customHeight="true" outlineLevel="0" collapsed="false">
      <c r="A234" s="28" t="s">
        <v>710</v>
      </c>
      <c r="B234" s="36" t="s">
        <v>61</v>
      </c>
      <c r="C234" s="28" t="n">
        <v>2</v>
      </c>
      <c r="D234" s="28" t="n">
        <v>3</v>
      </c>
      <c r="E234" s="28" t="n">
        <v>3</v>
      </c>
      <c r="F234" s="38" t="s">
        <v>1755</v>
      </c>
      <c r="G234" s="28" t="s">
        <v>840</v>
      </c>
      <c r="H234" s="27" t="s">
        <v>843</v>
      </c>
      <c r="I234" s="27" t="s">
        <v>2347</v>
      </c>
      <c r="J234" s="27" t="s">
        <v>2348</v>
      </c>
      <c r="K234" s="31" t="s">
        <v>2349</v>
      </c>
    </row>
    <row r="235" customFormat="false" ht="64.5" hidden="false" customHeight="true" outlineLevel="0" collapsed="false">
      <c r="A235" s="28" t="s">
        <v>710</v>
      </c>
      <c r="B235" s="36" t="s">
        <v>61</v>
      </c>
      <c r="C235" s="28" t="n">
        <v>2</v>
      </c>
      <c r="D235" s="28" t="n">
        <v>3</v>
      </c>
      <c r="E235" s="28" t="n">
        <v>4</v>
      </c>
      <c r="F235" s="38" t="s">
        <v>1759</v>
      </c>
      <c r="G235" s="28" t="s">
        <v>840</v>
      </c>
      <c r="H235" s="27" t="s">
        <v>843</v>
      </c>
      <c r="I235" s="27" t="s">
        <v>2350</v>
      </c>
      <c r="J235" s="27" t="s">
        <v>2351</v>
      </c>
      <c r="K235" s="27" t="s">
        <v>2352</v>
      </c>
    </row>
    <row r="236" customFormat="false" ht="30" hidden="false" customHeight="true" outlineLevel="0" collapsed="false">
      <c r="A236" s="28" t="s">
        <v>710</v>
      </c>
      <c r="B236" s="36" t="s">
        <v>61</v>
      </c>
      <c r="C236" s="28" t="n">
        <v>2</v>
      </c>
      <c r="D236" s="28" t="n">
        <v>4</v>
      </c>
      <c r="E236" s="28" t="n">
        <v>1</v>
      </c>
      <c r="F236" s="38" t="s">
        <v>1763</v>
      </c>
      <c r="G236" s="28" t="s">
        <v>846</v>
      </c>
      <c r="H236" s="27" t="s">
        <v>322</v>
      </c>
      <c r="I236" s="27" t="s">
        <v>2353</v>
      </c>
      <c r="J236" s="27" t="s">
        <v>2354</v>
      </c>
      <c r="K236" s="31" t="s">
        <v>2355</v>
      </c>
    </row>
    <row r="237" customFormat="false" ht="30" hidden="false" customHeight="true" outlineLevel="0" collapsed="false">
      <c r="A237" s="28" t="s">
        <v>710</v>
      </c>
      <c r="B237" s="36" t="s">
        <v>61</v>
      </c>
      <c r="C237" s="28" t="n">
        <v>2</v>
      </c>
      <c r="D237" s="28" t="n">
        <v>4</v>
      </c>
      <c r="E237" s="28" t="n">
        <v>2</v>
      </c>
      <c r="F237" s="38" t="s">
        <v>1767</v>
      </c>
      <c r="G237" s="28" t="s">
        <v>846</v>
      </c>
      <c r="H237" s="27" t="s">
        <v>322</v>
      </c>
      <c r="I237" s="27" t="s">
        <v>2356</v>
      </c>
      <c r="J237" s="27" t="s">
        <v>2357</v>
      </c>
      <c r="K237" s="27" t="s">
        <v>2358</v>
      </c>
    </row>
    <row r="238" customFormat="false" ht="30" hidden="false" customHeight="true" outlineLevel="0" collapsed="false">
      <c r="A238" s="28" t="s">
        <v>710</v>
      </c>
      <c r="B238" s="36" t="s">
        <v>61</v>
      </c>
      <c r="C238" s="28" t="n">
        <v>2</v>
      </c>
      <c r="D238" s="28" t="n">
        <v>4</v>
      </c>
      <c r="E238" s="28" t="n">
        <v>3</v>
      </c>
      <c r="F238" s="38" t="s">
        <v>1771</v>
      </c>
      <c r="G238" s="28" t="s">
        <v>846</v>
      </c>
      <c r="H238" s="27" t="s">
        <v>322</v>
      </c>
      <c r="I238" s="27" t="s">
        <v>2359</v>
      </c>
      <c r="J238" s="27" t="s">
        <v>2360</v>
      </c>
      <c r="K238" s="31" t="s">
        <v>2361</v>
      </c>
    </row>
    <row r="239" customFormat="false" ht="39" hidden="false" customHeight="true" outlineLevel="0" collapsed="false">
      <c r="A239" s="28" t="s">
        <v>710</v>
      </c>
      <c r="B239" s="36" t="s">
        <v>61</v>
      </c>
      <c r="C239" s="28" t="n">
        <v>2</v>
      </c>
      <c r="D239" s="28" t="n">
        <v>5</v>
      </c>
      <c r="E239" s="28" t="n">
        <v>1</v>
      </c>
      <c r="F239" s="38" t="s">
        <v>1775</v>
      </c>
      <c r="G239" s="28" t="s">
        <v>851</v>
      </c>
      <c r="H239" s="27" t="s">
        <v>330</v>
      </c>
      <c r="I239" s="27" t="s">
        <v>2362</v>
      </c>
      <c r="J239" s="27" t="s">
        <v>2363</v>
      </c>
      <c r="K239" s="27" t="s">
        <v>2364</v>
      </c>
    </row>
    <row r="240" customFormat="false" ht="30" hidden="false" customHeight="true" outlineLevel="0" collapsed="false">
      <c r="A240" s="28" t="s">
        <v>710</v>
      </c>
      <c r="B240" s="36" t="s">
        <v>61</v>
      </c>
      <c r="C240" s="28" t="n">
        <v>2</v>
      </c>
      <c r="D240" s="28" t="n">
        <v>5</v>
      </c>
      <c r="E240" s="28" t="n">
        <v>2</v>
      </c>
      <c r="F240" s="38" t="s">
        <v>1779</v>
      </c>
      <c r="G240" s="28" t="s">
        <v>851</v>
      </c>
      <c r="H240" s="27" t="s">
        <v>330</v>
      </c>
      <c r="I240" s="27" t="s">
        <v>1780</v>
      </c>
      <c r="J240" s="27" t="s">
        <v>2365</v>
      </c>
      <c r="K240" s="27" t="s">
        <v>2366</v>
      </c>
    </row>
    <row r="241" customFormat="false" ht="64.5" hidden="false" customHeight="true" outlineLevel="0" collapsed="false">
      <c r="A241" s="28" t="s">
        <v>710</v>
      </c>
      <c r="B241" s="36" t="s">
        <v>61</v>
      </c>
      <c r="C241" s="28" t="n">
        <v>3</v>
      </c>
      <c r="D241" s="28" t="n">
        <v>1</v>
      </c>
      <c r="E241" s="28" t="n">
        <v>1</v>
      </c>
      <c r="F241" s="38" t="s">
        <v>1783</v>
      </c>
      <c r="G241" s="28" t="s">
        <v>854</v>
      </c>
      <c r="H241" s="27" t="s">
        <v>856</v>
      </c>
      <c r="I241" s="27" t="s">
        <v>1836</v>
      </c>
      <c r="J241" s="27" t="s">
        <v>1837</v>
      </c>
      <c r="K241" s="27" t="s">
        <v>2367</v>
      </c>
    </row>
    <row r="242" customFormat="false" ht="39" hidden="false" customHeight="true" outlineLevel="0" collapsed="false">
      <c r="A242" s="28" t="s">
        <v>710</v>
      </c>
      <c r="B242" s="36" t="s">
        <v>61</v>
      </c>
      <c r="C242" s="28" t="n">
        <v>3</v>
      </c>
      <c r="D242" s="28" t="n">
        <v>1</v>
      </c>
      <c r="E242" s="28" t="n">
        <v>2</v>
      </c>
      <c r="F242" s="38" t="s">
        <v>1787</v>
      </c>
      <c r="G242" s="28" t="s">
        <v>854</v>
      </c>
      <c r="H242" s="27" t="s">
        <v>856</v>
      </c>
      <c r="I242" s="27" t="s">
        <v>2368</v>
      </c>
      <c r="J242" s="27" t="s">
        <v>2369</v>
      </c>
      <c r="K242" s="27" t="s">
        <v>2370</v>
      </c>
    </row>
    <row r="243" customFormat="false" ht="39" hidden="false" customHeight="true" outlineLevel="0" collapsed="false">
      <c r="A243" s="28" t="s">
        <v>710</v>
      </c>
      <c r="B243" s="36" t="s">
        <v>61</v>
      </c>
      <c r="C243" s="28" t="n">
        <v>3</v>
      </c>
      <c r="D243" s="28" t="n">
        <v>2</v>
      </c>
      <c r="E243" s="28" t="n">
        <v>1</v>
      </c>
      <c r="F243" s="38" t="s">
        <v>1795</v>
      </c>
      <c r="G243" s="28" t="s">
        <v>861</v>
      </c>
      <c r="H243" s="27" t="s">
        <v>864</v>
      </c>
      <c r="I243" s="27" t="s">
        <v>2371</v>
      </c>
      <c r="J243" s="31" t="s">
        <v>2372</v>
      </c>
      <c r="K243" s="31" t="s">
        <v>2373</v>
      </c>
    </row>
    <row r="244" customFormat="false" ht="30" hidden="false" customHeight="true" outlineLevel="0" collapsed="false">
      <c r="A244" s="28" t="s">
        <v>710</v>
      </c>
      <c r="B244" s="36" t="s">
        <v>61</v>
      </c>
      <c r="C244" s="28" t="n">
        <v>3</v>
      </c>
      <c r="D244" s="28" t="n">
        <v>2</v>
      </c>
      <c r="E244" s="28" t="n">
        <v>2</v>
      </c>
      <c r="F244" s="38" t="s">
        <v>1799</v>
      </c>
      <c r="G244" s="28" t="s">
        <v>861</v>
      </c>
      <c r="H244" s="27" t="s">
        <v>864</v>
      </c>
      <c r="I244" s="27" t="s">
        <v>2374</v>
      </c>
      <c r="J244" s="31" t="s">
        <v>2375</v>
      </c>
      <c r="K244" s="31" t="s">
        <v>2376</v>
      </c>
    </row>
    <row r="245" customFormat="false" ht="30" hidden="false" customHeight="true" outlineLevel="0" collapsed="false">
      <c r="A245" s="28" t="s">
        <v>710</v>
      </c>
      <c r="B245" s="36" t="s">
        <v>61</v>
      </c>
      <c r="C245" s="28" t="n">
        <v>3</v>
      </c>
      <c r="D245" s="28" t="n">
        <v>2</v>
      </c>
      <c r="E245" s="28" t="n">
        <v>3</v>
      </c>
      <c r="F245" s="38" t="s">
        <v>1803</v>
      </c>
      <c r="G245" s="28" t="s">
        <v>861</v>
      </c>
      <c r="H245" s="27" t="s">
        <v>864</v>
      </c>
      <c r="I245" s="27" t="s">
        <v>2377</v>
      </c>
      <c r="J245" s="31" t="s">
        <v>1805</v>
      </c>
      <c r="K245" s="31" t="s">
        <v>2378</v>
      </c>
    </row>
    <row r="246" customFormat="false" ht="30" hidden="false" customHeight="true" outlineLevel="0" collapsed="false">
      <c r="A246" s="28" t="s">
        <v>710</v>
      </c>
      <c r="B246" s="36" t="s">
        <v>61</v>
      </c>
      <c r="C246" s="28" t="n">
        <v>3</v>
      </c>
      <c r="D246" s="28" t="n">
        <v>3</v>
      </c>
      <c r="E246" s="28" t="n">
        <v>1</v>
      </c>
      <c r="F246" s="38" t="s">
        <v>1807</v>
      </c>
      <c r="G246" s="28" t="s">
        <v>868</v>
      </c>
      <c r="H246" s="27" t="s">
        <v>870</v>
      </c>
      <c r="I246" s="27" t="s">
        <v>2379</v>
      </c>
      <c r="J246" s="31" t="s">
        <v>2380</v>
      </c>
      <c r="K246" s="27" t="s">
        <v>2381</v>
      </c>
    </row>
    <row r="247" customFormat="false" ht="30" hidden="false" customHeight="true" outlineLevel="0" collapsed="false">
      <c r="A247" s="28" t="s">
        <v>710</v>
      </c>
      <c r="B247" s="36" t="s">
        <v>61</v>
      </c>
      <c r="C247" s="28" t="n">
        <v>3</v>
      </c>
      <c r="D247" s="28" t="n">
        <v>3</v>
      </c>
      <c r="E247" s="28" t="n">
        <v>2</v>
      </c>
      <c r="F247" s="38" t="s">
        <v>1811</v>
      </c>
      <c r="G247" s="28" t="s">
        <v>868</v>
      </c>
      <c r="H247" s="27" t="s">
        <v>870</v>
      </c>
      <c r="I247" s="27" t="s">
        <v>2382</v>
      </c>
      <c r="J247" s="31" t="s">
        <v>2383</v>
      </c>
      <c r="K247" s="31" t="s">
        <v>2384</v>
      </c>
    </row>
    <row r="248" customFormat="false" ht="39" hidden="false" customHeight="true" outlineLevel="0" collapsed="false">
      <c r="A248" s="28" t="s">
        <v>710</v>
      </c>
      <c r="B248" s="36" t="s">
        <v>61</v>
      </c>
      <c r="C248" s="28" t="n">
        <v>3</v>
      </c>
      <c r="D248" s="28" t="n">
        <v>4</v>
      </c>
      <c r="E248" s="28" t="n">
        <v>1</v>
      </c>
      <c r="F248" s="38" t="s">
        <v>1815</v>
      </c>
      <c r="G248" s="28" t="s">
        <v>873</v>
      </c>
      <c r="H248" s="27" t="s">
        <v>876</v>
      </c>
      <c r="I248" s="27" t="s">
        <v>2385</v>
      </c>
      <c r="J248" s="27" t="s">
        <v>2386</v>
      </c>
      <c r="K248" s="27" t="s">
        <v>2387</v>
      </c>
    </row>
    <row r="249" customFormat="false" ht="30" hidden="false" customHeight="true" outlineLevel="0" collapsed="false">
      <c r="A249" s="28" t="s">
        <v>710</v>
      </c>
      <c r="B249" s="36" t="s">
        <v>61</v>
      </c>
      <c r="C249" s="28" t="n">
        <v>3</v>
      </c>
      <c r="D249" s="28" t="n">
        <v>4</v>
      </c>
      <c r="E249" s="28" t="n">
        <v>2</v>
      </c>
      <c r="F249" s="38" t="s">
        <v>1819</v>
      </c>
      <c r="G249" s="28" t="s">
        <v>873</v>
      </c>
      <c r="H249" s="27" t="s">
        <v>876</v>
      </c>
      <c r="I249" s="27" t="s">
        <v>2388</v>
      </c>
      <c r="J249" s="27" t="s">
        <v>2389</v>
      </c>
      <c r="K249" s="27" t="s">
        <v>2390</v>
      </c>
    </row>
    <row r="250" customFormat="false" ht="30" hidden="false" customHeight="true" outlineLevel="0" collapsed="false">
      <c r="A250" s="28" t="s">
        <v>710</v>
      </c>
      <c r="B250" s="36" t="s">
        <v>61</v>
      </c>
      <c r="C250" s="28" t="n">
        <v>3</v>
      </c>
      <c r="D250" s="28" t="n">
        <v>5</v>
      </c>
      <c r="E250" s="28" t="n">
        <v>1</v>
      </c>
      <c r="F250" s="38" t="s">
        <v>1823</v>
      </c>
      <c r="G250" s="28" t="s">
        <v>880</v>
      </c>
      <c r="H250" s="27" t="s">
        <v>372</v>
      </c>
      <c r="I250" s="27" t="s">
        <v>2391</v>
      </c>
      <c r="J250" s="27" t="s">
        <v>2392</v>
      </c>
      <c r="K250" s="27" t="s">
        <v>2393</v>
      </c>
    </row>
    <row r="251" customFormat="false" ht="30" hidden="false" customHeight="true" outlineLevel="0" collapsed="false">
      <c r="A251" s="28" t="s">
        <v>710</v>
      </c>
      <c r="B251" s="36" t="s">
        <v>61</v>
      </c>
      <c r="C251" s="28" t="n">
        <v>3</v>
      </c>
      <c r="D251" s="28" t="n">
        <v>5</v>
      </c>
      <c r="E251" s="28" t="n">
        <v>2</v>
      </c>
      <c r="F251" s="38" t="s">
        <v>1827</v>
      </c>
      <c r="G251" s="28" t="s">
        <v>880</v>
      </c>
      <c r="H251" s="27" t="s">
        <v>372</v>
      </c>
      <c r="I251" s="27" t="s">
        <v>2394</v>
      </c>
      <c r="J251" s="27" t="s">
        <v>2395</v>
      </c>
      <c r="K251" s="27" t="s">
        <v>2396</v>
      </c>
    </row>
    <row r="252" customFormat="false" ht="30" hidden="false" customHeight="true" outlineLevel="0" collapsed="false">
      <c r="A252" s="28" t="s">
        <v>710</v>
      </c>
      <c r="B252" s="36" t="s">
        <v>61</v>
      </c>
      <c r="C252" s="28" t="n">
        <v>4</v>
      </c>
      <c r="D252" s="28" t="n">
        <v>1</v>
      </c>
      <c r="E252" s="28" t="n">
        <v>1</v>
      </c>
      <c r="F252" s="38" t="s">
        <v>1835</v>
      </c>
      <c r="G252" s="28" t="s">
        <v>885</v>
      </c>
      <c r="H252" s="27" t="s">
        <v>888</v>
      </c>
      <c r="I252" s="27" t="s">
        <v>2397</v>
      </c>
      <c r="J252" s="27" t="s">
        <v>2398</v>
      </c>
      <c r="K252" s="31" t="s">
        <v>2399</v>
      </c>
    </row>
    <row r="253" customFormat="false" ht="39" hidden="false" customHeight="true" outlineLevel="0" collapsed="false">
      <c r="A253" s="28" t="s">
        <v>710</v>
      </c>
      <c r="B253" s="36" t="s">
        <v>61</v>
      </c>
      <c r="C253" s="28" t="n">
        <v>4</v>
      </c>
      <c r="D253" s="28" t="n">
        <v>1</v>
      </c>
      <c r="E253" s="28" t="n">
        <v>2</v>
      </c>
      <c r="F253" s="38" t="s">
        <v>1839</v>
      </c>
      <c r="G253" s="28" t="s">
        <v>885</v>
      </c>
      <c r="H253" s="27" t="s">
        <v>888</v>
      </c>
      <c r="I253" s="27" t="s">
        <v>2400</v>
      </c>
      <c r="J253" s="27" t="s">
        <v>2401</v>
      </c>
      <c r="K253" s="27" t="s">
        <v>2402</v>
      </c>
    </row>
    <row r="254" customFormat="false" ht="30" hidden="false" customHeight="true" outlineLevel="0" collapsed="false">
      <c r="A254" s="28" t="s">
        <v>710</v>
      </c>
      <c r="B254" s="36" t="s">
        <v>61</v>
      </c>
      <c r="C254" s="28" t="n">
        <v>4</v>
      </c>
      <c r="D254" s="28" t="n">
        <v>2</v>
      </c>
      <c r="E254" s="28" t="n">
        <v>1</v>
      </c>
      <c r="F254" s="38" t="s">
        <v>1843</v>
      </c>
      <c r="G254" s="28" t="s">
        <v>892</v>
      </c>
      <c r="H254" s="27" t="s">
        <v>895</v>
      </c>
      <c r="I254" s="27" t="s">
        <v>2403</v>
      </c>
      <c r="J254" s="27" t="s">
        <v>2404</v>
      </c>
      <c r="K254" s="31" t="s">
        <v>2405</v>
      </c>
    </row>
    <row r="255" customFormat="false" ht="39" hidden="false" customHeight="true" outlineLevel="0" collapsed="false">
      <c r="A255" s="28" t="s">
        <v>710</v>
      </c>
      <c r="B255" s="36" t="s">
        <v>61</v>
      </c>
      <c r="C255" s="28" t="n">
        <v>4</v>
      </c>
      <c r="D255" s="28" t="n">
        <v>2</v>
      </c>
      <c r="E255" s="28" t="n">
        <v>2</v>
      </c>
      <c r="F255" s="38" t="s">
        <v>1847</v>
      </c>
      <c r="G255" s="28" t="s">
        <v>892</v>
      </c>
      <c r="H255" s="27" t="s">
        <v>895</v>
      </c>
      <c r="I255" s="27" t="s">
        <v>2406</v>
      </c>
      <c r="J255" s="31" t="s">
        <v>2407</v>
      </c>
      <c r="K255" s="31" t="s">
        <v>2408</v>
      </c>
    </row>
    <row r="256" customFormat="false" ht="39" hidden="false" customHeight="true" outlineLevel="0" collapsed="false">
      <c r="A256" s="28" t="s">
        <v>710</v>
      </c>
      <c r="B256" s="36" t="s">
        <v>61</v>
      </c>
      <c r="C256" s="28" t="n">
        <v>4</v>
      </c>
      <c r="D256" s="28" t="n">
        <v>3</v>
      </c>
      <c r="E256" s="28" t="n">
        <v>1</v>
      </c>
      <c r="F256" s="38" t="s">
        <v>1296</v>
      </c>
      <c r="G256" s="28" t="s">
        <v>901</v>
      </c>
      <c r="H256" s="27" t="s">
        <v>904</v>
      </c>
      <c r="I256" s="27" t="s">
        <v>1859</v>
      </c>
      <c r="J256" s="27" t="s">
        <v>2409</v>
      </c>
      <c r="K256" s="27" t="s">
        <v>2410</v>
      </c>
    </row>
    <row r="257" customFormat="false" ht="39" hidden="false" customHeight="true" outlineLevel="0" collapsed="false">
      <c r="A257" s="28" t="s">
        <v>710</v>
      </c>
      <c r="B257" s="36" t="s">
        <v>61</v>
      </c>
      <c r="C257" s="28" t="n">
        <v>4</v>
      </c>
      <c r="D257" s="28" t="n">
        <v>3</v>
      </c>
      <c r="E257" s="28" t="n">
        <v>2</v>
      </c>
      <c r="F257" s="38" t="s">
        <v>1858</v>
      </c>
      <c r="G257" s="28" t="s">
        <v>901</v>
      </c>
      <c r="H257" s="27" t="s">
        <v>904</v>
      </c>
      <c r="I257" s="27" t="s">
        <v>2411</v>
      </c>
      <c r="J257" s="27" t="s">
        <v>2412</v>
      </c>
      <c r="K257" s="27" t="s">
        <v>2413</v>
      </c>
    </row>
    <row r="258" customFormat="false" ht="39" hidden="false" customHeight="true" outlineLevel="0" collapsed="false">
      <c r="A258" s="28" t="s">
        <v>710</v>
      </c>
      <c r="B258" s="36" t="s">
        <v>61</v>
      </c>
      <c r="C258" s="28" t="n">
        <v>4</v>
      </c>
      <c r="D258" s="28" t="n">
        <v>4</v>
      </c>
      <c r="E258" s="28" t="n">
        <v>1</v>
      </c>
      <c r="F258" s="38" t="s">
        <v>1866</v>
      </c>
      <c r="G258" s="28" t="s">
        <v>909</v>
      </c>
      <c r="H258" s="27" t="s">
        <v>912</v>
      </c>
      <c r="I258" s="27" t="s">
        <v>2414</v>
      </c>
      <c r="J258" s="31" t="s">
        <v>2415</v>
      </c>
      <c r="K258" s="31" t="s">
        <v>2416</v>
      </c>
    </row>
    <row r="259" customFormat="false" ht="103.5" hidden="false" customHeight="true" outlineLevel="0" collapsed="false">
      <c r="A259" s="28" t="s">
        <v>710</v>
      </c>
      <c r="B259" s="36" t="s">
        <v>61</v>
      </c>
      <c r="C259" s="28" t="n">
        <v>4</v>
      </c>
      <c r="D259" s="28" t="n">
        <v>4</v>
      </c>
      <c r="E259" s="28" t="n">
        <v>2</v>
      </c>
      <c r="F259" s="38" t="s">
        <v>1870</v>
      </c>
      <c r="G259" s="28" t="s">
        <v>909</v>
      </c>
      <c r="H259" s="27" t="s">
        <v>912</v>
      </c>
      <c r="I259" s="27" t="s">
        <v>2417</v>
      </c>
      <c r="J259" s="27" t="s">
        <v>2418</v>
      </c>
      <c r="K259" s="31" t="s">
        <v>2419</v>
      </c>
    </row>
    <row r="260" customFormat="false" ht="30" hidden="false" customHeight="true" outlineLevel="0" collapsed="false">
      <c r="A260" s="28" t="s">
        <v>710</v>
      </c>
      <c r="B260" s="36" t="s">
        <v>61</v>
      </c>
      <c r="C260" s="28" t="n">
        <v>4</v>
      </c>
      <c r="D260" s="28" t="n">
        <v>5</v>
      </c>
      <c r="E260" s="28" t="n">
        <v>1</v>
      </c>
      <c r="F260" s="38" t="s">
        <v>1878</v>
      </c>
      <c r="G260" s="28" t="s">
        <v>917</v>
      </c>
      <c r="H260" s="27" t="s">
        <v>920</v>
      </c>
      <c r="I260" s="27" t="s">
        <v>2420</v>
      </c>
      <c r="J260" s="27" t="s">
        <v>2421</v>
      </c>
      <c r="K260" s="27" t="s">
        <v>2422</v>
      </c>
    </row>
    <row r="261" customFormat="false" ht="78" hidden="false" customHeight="true" outlineLevel="0" collapsed="false">
      <c r="A261" s="28" t="s">
        <v>710</v>
      </c>
      <c r="B261" s="36" t="s">
        <v>61</v>
      </c>
      <c r="C261" s="28" t="n">
        <v>4</v>
      </c>
      <c r="D261" s="28" t="n">
        <v>5</v>
      </c>
      <c r="E261" s="28" t="n">
        <v>2</v>
      </c>
      <c r="F261" s="38" t="s">
        <v>1882</v>
      </c>
      <c r="G261" s="28" t="s">
        <v>917</v>
      </c>
      <c r="H261" s="27" t="s">
        <v>920</v>
      </c>
      <c r="I261" s="27" t="s">
        <v>2423</v>
      </c>
      <c r="J261" s="27" t="s">
        <v>2424</v>
      </c>
      <c r="K261" s="31" t="s">
        <v>2425</v>
      </c>
    </row>
    <row r="262" customFormat="false" ht="39" hidden="false" customHeight="true" outlineLevel="0" collapsed="false">
      <c r="A262" s="28" t="s">
        <v>710</v>
      </c>
      <c r="B262" s="36" t="s">
        <v>61</v>
      </c>
      <c r="C262" s="28" t="n">
        <v>4</v>
      </c>
      <c r="D262" s="28" t="n">
        <v>5</v>
      </c>
      <c r="E262" s="28" t="n">
        <v>3</v>
      </c>
      <c r="F262" s="38" t="s">
        <v>1886</v>
      </c>
      <c r="G262" s="28" t="s">
        <v>917</v>
      </c>
      <c r="H262" s="27" t="s">
        <v>920</v>
      </c>
      <c r="I262" s="27" t="s">
        <v>2426</v>
      </c>
      <c r="J262" s="27" t="s">
        <v>2427</v>
      </c>
      <c r="K262" s="27" t="s">
        <v>2428</v>
      </c>
    </row>
    <row r="263" customFormat="false" ht="30" hidden="false" customHeight="true" outlineLevel="0" collapsed="false">
      <c r="A263" s="28" t="s">
        <v>710</v>
      </c>
      <c r="B263" s="37" t="s">
        <v>62</v>
      </c>
      <c r="C263" s="28" t="n">
        <v>1</v>
      </c>
      <c r="D263" s="28" t="n">
        <v>1</v>
      </c>
      <c r="E263" s="28" t="n">
        <v>1</v>
      </c>
      <c r="F263" s="38" t="s">
        <v>1890</v>
      </c>
      <c r="G263" s="28" t="s">
        <v>923</v>
      </c>
      <c r="H263" s="27" t="s">
        <v>424</v>
      </c>
      <c r="I263" s="27" t="s">
        <v>1891</v>
      </c>
      <c r="J263" s="31" t="s">
        <v>2429</v>
      </c>
      <c r="K263" s="31" t="s">
        <v>2430</v>
      </c>
    </row>
    <row r="264" customFormat="false" ht="30" hidden="false" customHeight="true" outlineLevel="0" collapsed="false">
      <c r="A264" s="28" t="s">
        <v>710</v>
      </c>
      <c r="B264" s="37" t="s">
        <v>62</v>
      </c>
      <c r="C264" s="28" t="n">
        <v>1</v>
      </c>
      <c r="D264" s="28" t="n">
        <v>1</v>
      </c>
      <c r="E264" s="28" t="n">
        <v>2</v>
      </c>
      <c r="F264" s="38" t="s">
        <v>1894</v>
      </c>
      <c r="G264" s="28" t="s">
        <v>923</v>
      </c>
      <c r="H264" s="27" t="s">
        <v>424</v>
      </c>
      <c r="I264" s="27" t="s">
        <v>1895</v>
      </c>
      <c r="J264" s="31" t="s">
        <v>2431</v>
      </c>
      <c r="K264" s="31" t="s">
        <v>2432</v>
      </c>
    </row>
    <row r="265" customFormat="false" ht="30" hidden="false" customHeight="true" outlineLevel="0" collapsed="false">
      <c r="A265" s="28" t="s">
        <v>710</v>
      </c>
      <c r="B265" s="37" t="s">
        <v>62</v>
      </c>
      <c r="C265" s="28" t="n">
        <v>1</v>
      </c>
      <c r="D265" s="28" t="n">
        <v>1</v>
      </c>
      <c r="E265" s="28" t="n">
        <v>3</v>
      </c>
      <c r="F265" s="38" t="s">
        <v>1898</v>
      </c>
      <c r="G265" s="28" t="s">
        <v>923</v>
      </c>
      <c r="H265" s="27" t="s">
        <v>424</v>
      </c>
      <c r="I265" s="27" t="s">
        <v>1899</v>
      </c>
      <c r="J265" s="31" t="s">
        <v>2433</v>
      </c>
      <c r="K265" s="31" t="s">
        <v>2434</v>
      </c>
    </row>
    <row r="266" customFormat="false" ht="30" hidden="false" customHeight="true" outlineLevel="0" collapsed="false">
      <c r="A266" s="28" t="s">
        <v>710</v>
      </c>
      <c r="B266" s="37" t="s">
        <v>62</v>
      </c>
      <c r="C266" s="28" t="n">
        <v>1</v>
      </c>
      <c r="D266" s="28" t="n">
        <v>2</v>
      </c>
      <c r="E266" s="28" t="n">
        <v>1</v>
      </c>
      <c r="F266" s="38" t="s">
        <v>1902</v>
      </c>
      <c r="G266" s="28" t="s">
        <v>925</v>
      </c>
      <c r="H266" s="27" t="s">
        <v>927</v>
      </c>
      <c r="I266" s="27" t="s">
        <v>1903</v>
      </c>
      <c r="J266" s="27" t="s">
        <v>2435</v>
      </c>
      <c r="K266" s="27" t="s">
        <v>2436</v>
      </c>
    </row>
    <row r="267" customFormat="false" ht="30" hidden="false" customHeight="true" outlineLevel="0" collapsed="false">
      <c r="A267" s="28" t="s">
        <v>710</v>
      </c>
      <c r="B267" s="37" t="s">
        <v>62</v>
      </c>
      <c r="C267" s="28" t="n">
        <v>1</v>
      </c>
      <c r="D267" s="28" t="n">
        <v>2</v>
      </c>
      <c r="E267" s="28" t="n">
        <v>2</v>
      </c>
      <c r="F267" s="38" t="s">
        <v>1906</v>
      </c>
      <c r="G267" s="28" t="s">
        <v>925</v>
      </c>
      <c r="H267" s="27" t="s">
        <v>927</v>
      </c>
      <c r="I267" s="27" t="s">
        <v>1907</v>
      </c>
      <c r="J267" s="31" t="s">
        <v>2437</v>
      </c>
      <c r="K267" s="27" t="s">
        <v>2438</v>
      </c>
    </row>
    <row r="268" customFormat="false" ht="30" hidden="false" customHeight="true" outlineLevel="0" collapsed="false">
      <c r="A268" s="28" t="s">
        <v>710</v>
      </c>
      <c r="B268" s="37" t="s">
        <v>62</v>
      </c>
      <c r="C268" s="28" t="n">
        <v>1</v>
      </c>
      <c r="D268" s="28" t="n">
        <v>3</v>
      </c>
      <c r="E268" s="28" t="n">
        <v>1</v>
      </c>
      <c r="F268" s="38" t="s">
        <v>1910</v>
      </c>
      <c r="G268" s="28" t="s">
        <v>928</v>
      </c>
      <c r="H268" s="27" t="s">
        <v>930</v>
      </c>
      <c r="I268" s="27" t="s">
        <v>1911</v>
      </c>
      <c r="J268" s="27" t="s">
        <v>2439</v>
      </c>
      <c r="K268" s="27" t="s">
        <v>2440</v>
      </c>
    </row>
    <row r="269" customFormat="false" ht="51.75" hidden="false" customHeight="true" outlineLevel="0" collapsed="false">
      <c r="A269" s="28" t="s">
        <v>710</v>
      </c>
      <c r="B269" s="37" t="s">
        <v>62</v>
      </c>
      <c r="C269" s="28" t="n">
        <v>1</v>
      </c>
      <c r="D269" s="28" t="n">
        <v>3</v>
      </c>
      <c r="E269" s="28" t="n">
        <v>2</v>
      </c>
      <c r="F269" s="38" t="s">
        <v>1914</v>
      </c>
      <c r="G269" s="28" t="s">
        <v>928</v>
      </c>
      <c r="H269" s="27" t="s">
        <v>930</v>
      </c>
      <c r="I269" s="27" t="s">
        <v>1915</v>
      </c>
      <c r="J269" s="27" t="s">
        <v>2441</v>
      </c>
      <c r="K269" s="27" t="s">
        <v>2442</v>
      </c>
    </row>
    <row r="270" customFormat="false" ht="30" hidden="false" customHeight="true" outlineLevel="0" collapsed="false">
      <c r="A270" s="28" t="s">
        <v>710</v>
      </c>
      <c r="B270" s="37" t="s">
        <v>62</v>
      </c>
      <c r="C270" s="28" t="n">
        <v>1</v>
      </c>
      <c r="D270" s="28" t="n">
        <v>3</v>
      </c>
      <c r="E270" s="28" t="n">
        <v>3</v>
      </c>
      <c r="F270" s="38" t="s">
        <v>1918</v>
      </c>
      <c r="G270" s="28" t="s">
        <v>928</v>
      </c>
      <c r="H270" s="27" t="s">
        <v>930</v>
      </c>
      <c r="I270" s="27" t="s">
        <v>1919</v>
      </c>
      <c r="J270" s="27" t="s">
        <v>2443</v>
      </c>
      <c r="K270" s="27" t="s">
        <v>2444</v>
      </c>
    </row>
    <row r="271" customFormat="false" ht="78" hidden="false" customHeight="true" outlineLevel="0" collapsed="false">
      <c r="A271" s="28" t="s">
        <v>710</v>
      </c>
      <c r="B271" s="37" t="s">
        <v>62</v>
      </c>
      <c r="C271" s="28" t="n">
        <v>1</v>
      </c>
      <c r="D271" s="28" t="n">
        <v>4</v>
      </c>
      <c r="E271" s="28" t="n">
        <v>1</v>
      </c>
      <c r="F271" s="38" t="s">
        <v>1922</v>
      </c>
      <c r="G271" s="28" t="s">
        <v>932</v>
      </c>
      <c r="H271" s="27" t="s">
        <v>934</v>
      </c>
      <c r="I271" s="27" t="s">
        <v>1923</v>
      </c>
      <c r="J271" s="31" t="s">
        <v>1924</v>
      </c>
      <c r="K271" s="27" t="s">
        <v>2445</v>
      </c>
    </row>
    <row r="272" customFormat="false" ht="64.5" hidden="false" customHeight="true" outlineLevel="0" collapsed="false">
      <c r="A272" s="28" t="s">
        <v>710</v>
      </c>
      <c r="B272" s="37" t="s">
        <v>62</v>
      </c>
      <c r="C272" s="28" t="n">
        <v>1</v>
      </c>
      <c r="D272" s="28" t="n">
        <v>4</v>
      </c>
      <c r="E272" s="28" t="n">
        <v>2</v>
      </c>
      <c r="F272" s="38" t="s">
        <v>1926</v>
      </c>
      <c r="G272" s="28" t="s">
        <v>932</v>
      </c>
      <c r="H272" s="27" t="s">
        <v>934</v>
      </c>
      <c r="I272" s="27" t="s">
        <v>1927</v>
      </c>
      <c r="J272" s="31" t="s">
        <v>1928</v>
      </c>
      <c r="K272" s="27" t="s">
        <v>2446</v>
      </c>
    </row>
    <row r="273" customFormat="false" ht="51.75" hidden="false" customHeight="true" outlineLevel="0" collapsed="false">
      <c r="A273" s="28" t="s">
        <v>710</v>
      </c>
      <c r="B273" s="37" t="s">
        <v>62</v>
      </c>
      <c r="C273" s="28" t="n">
        <v>1</v>
      </c>
      <c r="D273" s="28" t="n">
        <v>4</v>
      </c>
      <c r="E273" s="28" t="n">
        <v>3</v>
      </c>
      <c r="F273" s="38" t="s">
        <v>1930</v>
      </c>
      <c r="G273" s="28" t="s">
        <v>932</v>
      </c>
      <c r="H273" s="27" t="s">
        <v>934</v>
      </c>
      <c r="I273" s="27" t="s">
        <v>1931</v>
      </c>
      <c r="J273" s="31" t="s">
        <v>1932</v>
      </c>
      <c r="K273" s="27" t="s">
        <v>2447</v>
      </c>
    </row>
    <row r="274" customFormat="false" ht="30" hidden="false" customHeight="true" outlineLevel="0" collapsed="false">
      <c r="A274" s="28" t="s">
        <v>710</v>
      </c>
      <c r="B274" s="37" t="s">
        <v>62</v>
      </c>
      <c r="C274" s="28" t="n">
        <v>2</v>
      </c>
      <c r="D274" s="28" t="n">
        <v>1</v>
      </c>
      <c r="E274" s="28" t="n">
        <v>1</v>
      </c>
      <c r="F274" s="38" t="s">
        <v>938</v>
      </c>
      <c r="G274" s="28" t="s">
        <v>937</v>
      </c>
      <c r="H274" s="27" t="s">
        <v>461</v>
      </c>
      <c r="I274" s="27" t="s">
        <v>1938</v>
      </c>
      <c r="J274" s="27" t="s">
        <v>1939</v>
      </c>
      <c r="K274" s="27" t="s">
        <v>1940</v>
      </c>
    </row>
    <row r="275" customFormat="false" ht="30" hidden="false" customHeight="true" outlineLevel="0" collapsed="false">
      <c r="A275" s="28" t="s">
        <v>710</v>
      </c>
      <c r="B275" s="37" t="s">
        <v>62</v>
      </c>
      <c r="C275" s="28" t="n">
        <v>2</v>
      </c>
      <c r="D275" s="28" t="n">
        <v>2</v>
      </c>
      <c r="E275" s="28" t="n">
        <v>1</v>
      </c>
      <c r="F275" s="38" t="s">
        <v>1941</v>
      </c>
      <c r="G275" s="28" t="s">
        <v>943</v>
      </c>
      <c r="H275" s="27" t="s">
        <v>945</v>
      </c>
      <c r="I275" s="27" t="s">
        <v>2448</v>
      </c>
      <c r="J275" s="27" t="s">
        <v>2449</v>
      </c>
      <c r="K275" s="27" t="s">
        <v>2450</v>
      </c>
    </row>
    <row r="276" customFormat="false" ht="39" hidden="false" customHeight="true" outlineLevel="0" collapsed="false">
      <c r="A276" s="28" t="s">
        <v>710</v>
      </c>
      <c r="B276" s="37" t="s">
        <v>62</v>
      </c>
      <c r="C276" s="28" t="n">
        <v>2</v>
      </c>
      <c r="D276" s="28" t="n">
        <v>2</v>
      </c>
      <c r="E276" s="28" t="n">
        <v>2</v>
      </c>
      <c r="F276" s="38" t="s">
        <v>1945</v>
      </c>
      <c r="G276" s="28" t="s">
        <v>943</v>
      </c>
      <c r="H276" s="27" t="s">
        <v>945</v>
      </c>
      <c r="I276" s="27" t="s">
        <v>2451</v>
      </c>
      <c r="J276" s="27" t="s">
        <v>2452</v>
      </c>
      <c r="K276" s="27" t="s">
        <v>2453</v>
      </c>
    </row>
    <row r="277" customFormat="false" ht="39" hidden="false" customHeight="true" outlineLevel="0" collapsed="false">
      <c r="A277" s="28" t="s">
        <v>710</v>
      </c>
      <c r="B277" s="37" t="s">
        <v>62</v>
      </c>
      <c r="C277" s="28" t="n">
        <v>2</v>
      </c>
      <c r="D277" s="28" t="n">
        <v>3</v>
      </c>
      <c r="E277" s="28" t="n">
        <v>1</v>
      </c>
      <c r="F277" s="38" t="s">
        <v>1949</v>
      </c>
      <c r="G277" s="28" t="s">
        <v>949</v>
      </c>
      <c r="H277" s="27" t="s">
        <v>952</v>
      </c>
      <c r="I277" s="27" t="s">
        <v>2454</v>
      </c>
      <c r="J277" s="27" t="s">
        <v>2455</v>
      </c>
      <c r="K277" s="27" t="s">
        <v>2456</v>
      </c>
    </row>
    <row r="278" customFormat="false" ht="64.5" hidden="false" customHeight="true" outlineLevel="0" collapsed="false">
      <c r="A278" s="28" t="s">
        <v>710</v>
      </c>
      <c r="B278" s="37" t="s">
        <v>62</v>
      </c>
      <c r="C278" s="28" t="n">
        <v>2</v>
      </c>
      <c r="D278" s="28" t="n">
        <v>3</v>
      </c>
      <c r="E278" s="28" t="n">
        <v>2</v>
      </c>
      <c r="F278" s="38" t="s">
        <v>1953</v>
      </c>
      <c r="G278" s="28" t="s">
        <v>949</v>
      </c>
      <c r="H278" s="27" t="s">
        <v>952</v>
      </c>
      <c r="I278" s="27" t="s">
        <v>2457</v>
      </c>
      <c r="J278" s="27" t="s">
        <v>2458</v>
      </c>
      <c r="K278" s="27" t="s">
        <v>2459</v>
      </c>
    </row>
    <row r="279" customFormat="false" ht="51.75" hidden="false" customHeight="true" outlineLevel="0" collapsed="false">
      <c r="A279" s="28" t="s">
        <v>710</v>
      </c>
      <c r="B279" s="37" t="s">
        <v>62</v>
      </c>
      <c r="C279" s="28" t="n">
        <v>2</v>
      </c>
      <c r="D279" s="28" t="n">
        <v>4</v>
      </c>
      <c r="E279" s="28" t="n">
        <v>1</v>
      </c>
      <c r="F279" s="38" t="s">
        <v>1957</v>
      </c>
      <c r="G279" s="28" t="s">
        <v>956</v>
      </c>
      <c r="H279" s="27" t="s">
        <v>959</v>
      </c>
      <c r="I279" s="27" t="s">
        <v>2460</v>
      </c>
      <c r="J279" s="27" t="s">
        <v>2461</v>
      </c>
      <c r="K279" s="27" t="s">
        <v>2462</v>
      </c>
    </row>
    <row r="280" customFormat="false" ht="39" hidden="false" customHeight="true" outlineLevel="0" collapsed="false">
      <c r="A280" s="28" t="s">
        <v>710</v>
      </c>
      <c r="B280" s="37" t="s">
        <v>62</v>
      </c>
      <c r="C280" s="28" t="n">
        <v>2</v>
      </c>
      <c r="D280" s="28" t="n">
        <v>4</v>
      </c>
      <c r="E280" s="28" t="n">
        <v>2</v>
      </c>
      <c r="F280" s="38" t="s">
        <v>1961</v>
      </c>
      <c r="G280" s="28" t="s">
        <v>956</v>
      </c>
      <c r="H280" s="27" t="s">
        <v>959</v>
      </c>
      <c r="I280" s="27" t="s">
        <v>2463</v>
      </c>
      <c r="J280" s="27" t="s">
        <v>2464</v>
      </c>
      <c r="K280" s="27" t="s">
        <v>2465</v>
      </c>
    </row>
    <row r="281" customFormat="false" ht="90.75" hidden="false" customHeight="true" outlineLevel="0" collapsed="false">
      <c r="A281" s="28" t="s">
        <v>710</v>
      </c>
      <c r="B281" s="37" t="s">
        <v>62</v>
      </c>
      <c r="C281" s="28" t="n">
        <v>3</v>
      </c>
      <c r="D281" s="28" t="n">
        <v>1</v>
      </c>
      <c r="E281" s="28" t="n">
        <v>1</v>
      </c>
      <c r="F281" s="38" t="s">
        <v>1965</v>
      </c>
      <c r="G281" s="28" t="s">
        <v>963</v>
      </c>
      <c r="H281" s="27" t="s">
        <v>966</v>
      </c>
      <c r="I281" s="27" t="s">
        <v>2466</v>
      </c>
      <c r="J281" s="27" t="s">
        <v>2467</v>
      </c>
      <c r="K281" s="27" t="s">
        <v>2468</v>
      </c>
    </row>
    <row r="282" customFormat="false" ht="103.5" hidden="false" customHeight="true" outlineLevel="0" collapsed="false">
      <c r="A282" s="28" t="s">
        <v>710</v>
      </c>
      <c r="B282" s="37" t="s">
        <v>62</v>
      </c>
      <c r="C282" s="28" t="n">
        <v>3</v>
      </c>
      <c r="D282" s="28" t="n">
        <v>1</v>
      </c>
      <c r="E282" s="28" t="n">
        <v>2</v>
      </c>
      <c r="F282" s="38" t="s">
        <v>1969</v>
      </c>
      <c r="G282" s="28" t="s">
        <v>963</v>
      </c>
      <c r="H282" s="27" t="s">
        <v>966</v>
      </c>
      <c r="I282" s="27" t="s">
        <v>2469</v>
      </c>
      <c r="J282" s="27" t="s">
        <v>2470</v>
      </c>
      <c r="K282" s="31" t="s">
        <v>2471</v>
      </c>
    </row>
    <row r="283" customFormat="false" ht="64.5" hidden="false" customHeight="true" outlineLevel="0" collapsed="false">
      <c r="A283" s="28" t="s">
        <v>710</v>
      </c>
      <c r="B283" s="37" t="s">
        <v>62</v>
      </c>
      <c r="C283" s="28" t="n">
        <v>3</v>
      </c>
      <c r="D283" s="28" t="n">
        <v>2</v>
      </c>
      <c r="E283" s="28" t="n">
        <v>1</v>
      </c>
      <c r="F283" s="38" t="s">
        <v>1981</v>
      </c>
      <c r="G283" s="28" t="s">
        <v>971</v>
      </c>
      <c r="H283" s="27" t="s">
        <v>974</v>
      </c>
      <c r="I283" s="27" t="s">
        <v>2472</v>
      </c>
      <c r="J283" s="27" t="s">
        <v>2473</v>
      </c>
      <c r="K283" s="27" t="s">
        <v>2474</v>
      </c>
    </row>
    <row r="284" customFormat="false" ht="64.5" hidden="false" customHeight="true" outlineLevel="0" collapsed="false">
      <c r="A284" s="28" t="s">
        <v>710</v>
      </c>
      <c r="B284" s="37" t="s">
        <v>62</v>
      </c>
      <c r="C284" s="28" t="n">
        <v>3</v>
      </c>
      <c r="D284" s="28" t="n">
        <v>2</v>
      </c>
      <c r="E284" s="28" t="n">
        <v>2</v>
      </c>
      <c r="F284" s="38" t="s">
        <v>1985</v>
      </c>
      <c r="G284" s="28" t="s">
        <v>971</v>
      </c>
      <c r="H284" s="27" t="s">
        <v>974</v>
      </c>
      <c r="I284" s="27" t="s">
        <v>2475</v>
      </c>
      <c r="J284" s="27" t="s">
        <v>2476</v>
      </c>
      <c r="K284" s="27" t="s">
        <v>2477</v>
      </c>
    </row>
    <row r="285" customFormat="false" ht="51.75" hidden="false" customHeight="true" outlineLevel="0" collapsed="false">
      <c r="A285" s="28" t="s">
        <v>710</v>
      </c>
      <c r="B285" s="37" t="s">
        <v>62</v>
      </c>
      <c r="C285" s="28" t="n">
        <v>3</v>
      </c>
      <c r="D285" s="28" t="n">
        <v>2</v>
      </c>
      <c r="E285" s="28" t="n">
        <v>3</v>
      </c>
      <c r="F285" s="38" t="s">
        <v>1989</v>
      </c>
      <c r="G285" s="28" t="s">
        <v>971</v>
      </c>
      <c r="H285" s="27" t="s">
        <v>974</v>
      </c>
      <c r="I285" s="27" t="s">
        <v>2478</v>
      </c>
      <c r="J285" s="27" t="s">
        <v>2479</v>
      </c>
      <c r="K285" s="27" t="s">
        <v>2480</v>
      </c>
    </row>
    <row r="286" customFormat="false" ht="78" hidden="false" customHeight="true" outlineLevel="0" collapsed="false">
      <c r="A286" s="28" t="s">
        <v>710</v>
      </c>
      <c r="B286" s="37" t="s">
        <v>62</v>
      </c>
      <c r="C286" s="28" t="n">
        <v>3</v>
      </c>
      <c r="D286" s="28" t="n">
        <v>3</v>
      </c>
      <c r="E286" s="28" t="n">
        <v>1</v>
      </c>
      <c r="F286" s="38" t="s">
        <v>1993</v>
      </c>
      <c r="G286" s="28" t="s">
        <v>977</v>
      </c>
      <c r="H286" s="27" t="s">
        <v>980</v>
      </c>
      <c r="I286" s="27" t="s">
        <v>2481</v>
      </c>
      <c r="J286" s="27" t="s">
        <v>2482</v>
      </c>
      <c r="K286" s="27" t="s">
        <v>2483</v>
      </c>
    </row>
    <row r="287" customFormat="false" ht="64.5" hidden="false" customHeight="true" outlineLevel="0" collapsed="false">
      <c r="A287" s="28" t="s">
        <v>710</v>
      </c>
      <c r="B287" s="37" t="s">
        <v>62</v>
      </c>
      <c r="C287" s="28" t="n">
        <v>3</v>
      </c>
      <c r="D287" s="28" t="n">
        <v>3</v>
      </c>
      <c r="E287" s="28" t="n">
        <v>2</v>
      </c>
      <c r="F287" s="38" t="s">
        <v>1997</v>
      </c>
      <c r="G287" s="28" t="s">
        <v>977</v>
      </c>
      <c r="H287" s="27" t="s">
        <v>980</v>
      </c>
      <c r="I287" s="27" t="s">
        <v>2484</v>
      </c>
      <c r="J287" s="27" t="s">
        <v>2485</v>
      </c>
      <c r="K287" s="27" t="s">
        <v>2486</v>
      </c>
    </row>
    <row r="288" customFormat="false" ht="78" hidden="false" customHeight="true" outlineLevel="0" collapsed="false">
      <c r="A288" s="28" t="s">
        <v>710</v>
      </c>
      <c r="B288" s="37" t="s">
        <v>62</v>
      </c>
      <c r="C288" s="28" t="n">
        <v>3</v>
      </c>
      <c r="D288" s="28" t="n">
        <v>4</v>
      </c>
      <c r="E288" s="28" t="n">
        <v>1</v>
      </c>
      <c r="F288" s="38" t="s">
        <v>2009</v>
      </c>
      <c r="G288" s="28" t="s">
        <v>985</v>
      </c>
      <c r="H288" s="27" t="s">
        <v>988</v>
      </c>
      <c r="I288" s="27" t="s">
        <v>2487</v>
      </c>
      <c r="J288" s="27" t="s">
        <v>2488</v>
      </c>
      <c r="K288" s="27" t="s">
        <v>2489</v>
      </c>
    </row>
    <row r="289" customFormat="false" ht="78" hidden="false" customHeight="true" outlineLevel="0" collapsed="false">
      <c r="A289" s="28" t="s">
        <v>710</v>
      </c>
      <c r="B289" s="37" t="s">
        <v>62</v>
      </c>
      <c r="C289" s="28" t="n">
        <v>3</v>
      </c>
      <c r="D289" s="28" t="n">
        <v>4</v>
      </c>
      <c r="E289" s="28" t="n">
        <v>2</v>
      </c>
      <c r="F289" s="38" t="s">
        <v>2013</v>
      </c>
      <c r="G289" s="28" t="s">
        <v>985</v>
      </c>
      <c r="H289" s="27" t="s">
        <v>988</v>
      </c>
      <c r="I289" s="27" t="s">
        <v>2490</v>
      </c>
      <c r="J289" s="27" t="s">
        <v>2491</v>
      </c>
      <c r="K289" s="27" t="s">
        <v>2492</v>
      </c>
    </row>
    <row r="290" customFormat="false" ht="64.5" hidden="false" customHeight="true" outlineLevel="0" collapsed="false">
      <c r="A290" s="28" t="s">
        <v>710</v>
      </c>
      <c r="B290" s="37" t="s">
        <v>62</v>
      </c>
      <c r="C290" s="28" t="n">
        <v>4</v>
      </c>
      <c r="D290" s="28" t="n">
        <v>1</v>
      </c>
      <c r="E290" s="28" t="n">
        <v>1</v>
      </c>
      <c r="F290" s="38" t="s">
        <v>2020</v>
      </c>
      <c r="G290" s="28" t="s">
        <v>993</v>
      </c>
      <c r="H290" s="27" t="s">
        <v>996</v>
      </c>
      <c r="I290" s="27" t="s">
        <v>2493</v>
      </c>
      <c r="J290" s="27" t="s">
        <v>2494</v>
      </c>
      <c r="K290" s="31" t="s">
        <v>2495</v>
      </c>
    </row>
    <row r="291" customFormat="false" ht="64.5" hidden="false" customHeight="true" outlineLevel="0" collapsed="false">
      <c r="A291" s="28" t="s">
        <v>710</v>
      </c>
      <c r="B291" s="37" t="s">
        <v>62</v>
      </c>
      <c r="C291" s="28" t="n">
        <v>4</v>
      </c>
      <c r="D291" s="28" t="n">
        <v>1</v>
      </c>
      <c r="E291" s="28" t="n">
        <v>2</v>
      </c>
      <c r="F291" s="38" t="s">
        <v>2022</v>
      </c>
      <c r="G291" s="28" t="s">
        <v>993</v>
      </c>
      <c r="H291" s="27" t="s">
        <v>996</v>
      </c>
      <c r="I291" s="27" t="s">
        <v>2496</v>
      </c>
      <c r="J291" s="27" t="s">
        <v>2497</v>
      </c>
      <c r="K291" s="27" t="s">
        <v>2498</v>
      </c>
    </row>
    <row r="292" customFormat="false" ht="64.5" hidden="false" customHeight="true" outlineLevel="0" collapsed="false">
      <c r="A292" s="28" t="s">
        <v>710</v>
      </c>
      <c r="B292" s="37" t="s">
        <v>62</v>
      </c>
      <c r="C292" s="28" t="n">
        <v>4</v>
      </c>
      <c r="D292" s="28" t="n">
        <v>1</v>
      </c>
      <c r="E292" s="28" t="n">
        <v>3</v>
      </c>
      <c r="F292" s="38" t="s">
        <v>2026</v>
      </c>
      <c r="G292" s="28" t="s">
        <v>993</v>
      </c>
      <c r="H292" s="27" t="s">
        <v>996</v>
      </c>
      <c r="I292" s="27" t="s">
        <v>2499</v>
      </c>
      <c r="J292" s="27" t="s">
        <v>2500</v>
      </c>
      <c r="K292" s="27" t="s">
        <v>2501</v>
      </c>
    </row>
    <row r="293" customFormat="false" ht="64.5" hidden="false" customHeight="true" outlineLevel="0" collapsed="false">
      <c r="A293" s="28" t="s">
        <v>710</v>
      </c>
      <c r="B293" s="37" t="s">
        <v>62</v>
      </c>
      <c r="C293" s="28" t="n">
        <v>4</v>
      </c>
      <c r="D293" s="28" t="n">
        <v>2</v>
      </c>
      <c r="E293" s="28" t="n">
        <v>1</v>
      </c>
      <c r="F293" s="38" t="s">
        <v>2032</v>
      </c>
      <c r="G293" s="28" t="s">
        <v>1001</v>
      </c>
      <c r="H293" s="27" t="s">
        <v>1004</v>
      </c>
      <c r="I293" s="27" t="s">
        <v>2033</v>
      </c>
      <c r="J293" s="27" t="s">
        <v>2502</v>
      </c>
      <c r="K293" s="27" t="s">
        <v>2035</v>
      </c>
    </row>
    <row r="294" customFormat="false" ht="64.5" hidden="false" customHeight="true" outlineLevel="0" collapsed="false">
      <c r="A294" s="28" t="s">
        <v>710</v>
      </c>
      <c r="B294" s="37" t="s">
        <v>62</v>
      </c>
      <c r="C294" s="28" t="n">
        <v>4</v>
      </c>
      <c r="D294" s="28" t="n">
        <v>2</v>
      </c>
      <c r="E294" s="28" t="n">
        <v>2</v>
      </c>
      <c r="F294" s="38" t="s">
        <v>2036</v>
      </c>
      <c r="G294" s="28" t="s">
        <v>1001</v>
      </c>
      <c r="H294" s="27" t="s">
        <v>1004</v>
      </c>
      <c r="I294" s="27" t="s">
        <v>2037</v>
      </c>
      <c r="J294" s="27" t="s">
        <v>2503</v>
      </c>
      <c r="K294" s="31" t="s">
        <v>2504</v>
      </c>
    </row>
    <row r="295" customFormat="false" ht="51.75" hidden="false" customHeight="true" outlineLevel="0" collapsed="false">
      <c r="A295" s="28" t="s">
        <v>710</v>
      </c>
      <c r="B295" s="37" t="s">
        <v>62</v>
      </c>
      <c r="C295" s="28" t="n">
        <v>4</v>
      </c>
      <c r="D295" s="28" t="n">
        <v>2</v>
      </c>
      <c r="E295" s="28" t="n">
        <v>3</v>
      </c>
      <c r="F295" s="38" t="s">
        <v>2040</v>
      </c>
      <c r="G295" s="28" t="s">
        <v>1001</v>
      </c>
      <c r="H295" s="27" t="s">
        <v>1004</v>
      </c>
      <c r="I295" s="27" t="s">
        <v>2505</v>
      </c>
      <c r="J295" s="27" t="s">
        <v>2506</v>
      </c>
      <c r="K295" s="27" t="s">
        <v>2507</v>
      </c>
    </row>
    <row r="296" customFormat="false" ht="51.75" hidden="false" customHeight="true" outlineLevel="0" collapsed="false">
      <c r="A296" s="28" t="s">
        <v>710</v>
      </c>
      <c r="B296" s="37" t="s">
        <v>62</v>
      </c>
      <c r="C296" s="28" t="n">
        <v>4</v>
      </c>
      <c r="D296" s="28" t="n">
        <v>3</v>
      </c>
      <c r="E296" s="28" t="n">
        <v>1</v>
      </c>
      <c r="F296" s="38" t="s">
        <v>2044</v>
      </c>
      <c r="G296" s="28" t="s">
        <v>1007</v>
      </c>
      <c r="H296" s="27" t="s">
        <v>1009</v>
      </c>
      <c r="I296" s="27" t="s">
        <v>2508</v>
      </c>
      <c r="J296" s="27" t="s">
        <v>2509</v>
      </c>
      <c r="K296" s="27" t="s">
        <v>2510</v>
      </c>
    </row>
    <row r="297" customFormat="false" ht="39" hidden="false" customHeight="true" outlineLevel="0" collapsed="false">
      <c r="A297" s="28" t="s">
        <v>710</v>
      </c>
      <c r="B297" s="37" t="s">
        <v>62</v>
      </c>
      <c r="C297" s="28" t="n">
        <v>4</v>
      </c>
      <c r="D297" s="28" t="n">
        <v>3</v>
      </c>
      <c r="E297" s="28" t="n">
        <v>2</v>
      </c>
      <c r="F297" s="38" t="s">
        <v>2048</v>
      </c>
      <c r="G297" s="28" t="s">
        <v>1007</v>
      </c>
      <c r="H297" s="27" t="s">
        <v>1009</v>
      </c>
      <c r="I297" s="27" t="s">
        <v>2511</v>
      </c>
      <c r="J297" s="27" t="s">
        <v>2512</v>
      </c>
      <c r="K297" s="27" t="s">
        <v>2513</v>
      </c>
    </row>
    <row r="298" customFormat="false" ht="51.75" hidden="false" customHeight="true" outlineLevel="0" collapsed="false">
      <c r="A298" s="28" t="s">
        <v>710</v>
      </c>
      <c r="B298" s="37" t="s">
        <v>62</v>
      </c>
      <c r="C298" s="28" t="n">
        <v>4</v>
      </c>
      <c r="D298" s="28" t="n">
        <v>3</v>
      </c>
      <c r="E298" s="28" t="n">
        <v>3</v>
      </c>
      <c r="F298" s="38" t="s">
        <v>2052</v>
      </c>
      <c r="G298" s="28" t="s">
        <v>1007</v>
      </c>
      <c r="H298" s="27" t="s">
        <v>1009</v>
      </c>
      <c r="I298" s="27" t="s">
        <v>2514</v>
      </c>
      <c r="J298" s="27" t="s">
        <v>2515</v>
      </c>
      <c r="K298" s="27" t="s">
        <v>2516</v>
      </c>
    </row>
    <row r="299" customFormat="false" ht="51.75" hidden="false" customHeight="true" outlineLevel="0" collapsed="false">
      <c r="A299" s="28" t="s">
        <v>710</v>
      </c>
      <c r="B299" s="37" t="s">
        <v>62</v>
      </c>
      <c r="C299" s="28" t="n">
        <v>4</v>
      </c>
      <c r="D299" s="28" t="n">
        <v>4</v>
      </c>
      <c r="E299" s="28" t="n">
        <v>1</v>
      </c>
      <c r="F299" s="38" t="s">
        <v>2060</v>
      </c>
      <c r="G299" s="28" t="s">
        <v>1013</v>
      </c>
      <c r="H299" s="27" t="s">
        <v>1016</v>
      </c>
      <c r="I299" s="27" t="s">
        <v>2517</v>
      </c>
      <c r="J299" s="27" t="s">
        <v>2518</v>
      </c>
      <c r="K299" s="27" t="s">
        <v>2519</v>
      </c>
    </row>
    <row r="300" customFormat="false" ht="51.75" hidden="false" customHeight="true" outlineLevel="0" collapsed="false">
      <c r="A300" s="28" t="s">
        <v>710</v>
      </c>
      <c r="B300" s="37" t="s">
        <v>62</v>
      </c>
      <c r="C300" s="28" t="n">
        <v>4</v>
      </c>
      <c r="D300" s="28" t="n">
        <v>4</v>
      </c>
      <c r="E300" s="28" t="n">
        <v>2</v>
      </c>
      <c r="F300" s="38" t="s">
        <v>2064</v>
      </c>
      <c r="G300" s="28" t="s">
        <v>1013</v>
      </c>
      <c r="H300" s="27" t="s">
        <v>1016</v>
      </c>
      <c r="I300" s="27" t="s">
        <v>2520</v>
      </c>
      <c r="J300" s="27" t="s">
        <v>2521</v>
      </c>
      <c r="K300" s="31" t="s">
        <v>2522</v>
      </c>
    </row>
    <row r="301" customFormat="false" ht="30" hidden="false" customHeight="true" outlineLevel="0" collapsed="false">
      <c r="A301" s="28" t="s">
        <v>710</v>
      </c>
      <c r="B301" s="32" t="s">
        <v>63</v>
      </c>
      <c r="C301" s="28" t="n">
        <v>1</v>
      </c>
      <c r="D301" s="28" t="n">
        <v>1</v>
      </c>
      <c r="E301" s="28" t="n">
        <v>1</v>
      </c>
      <c r="F301" s="38" t="s">
        <v>2072</v>
      </c>
      <c r="G301" s="28" t="s">
        <v>1022</v>
      </c>
      <c r="H301" s="27" t="s">
        <v>570</v>
      </c>
      <c r="I301" s="27" t="s">
        <v>2073</v>
      </c>
      <c r="J301" s="27" t="s">
        <v>2074</v>
      </c>
      <c r="K301" s="27" t="s">
        <v>2075</v>
      </c>
    </row>
    <row r="302" customFormat="false" ht="30" hidden="false" customHeight="true" outlineLevel="0" collapsed="false">
      <c r="A302" s="28" t="s">
        <v>710</v>
      </c>
      <c r="B302" s="32" t="s">
        <v>63</v>
      </c>
      <c r="C302" s="28" t="n">
        <v>1</v>
      </c>
      <c r="D302" s="28" t="n">
        <v>1</v>
      </c>
      <c r="E302" s="28" t="n">
        <v>2</v>
      </c>
      <c r="F302" s="38" t="s">
        <v>2076</v>
      </c>
      <c r="G302" s="28" t="s">
        <v>1022</v>
      </c>
      <c r="H302" s="27" t="s">
        <v>570</v>
      </c>
      <c r="I302" s="27" t="s">
        <v>2077</v>
      </c>
      <c r="J302" s="27" t="s">
        <v>2078</v>
      </c>
      <c r="K302" s="27" t="s">
        <v>2079</v>
      </c>
    </row>
    <row r="303" customFormat="false" ht="30" hidden="false" customHeight="true" outlineLevel="0" collapsed="false">
      <c r="A303" s="28" t="s">
        <v>710</v>
      </c>
      <c r="B303" s="32" t="s">
        <v>63</v>
      </c>
      <c r="C303" s="28" t="n">
        <v>1</v>
      </c>
      <c r="D303" s="28" t="n">
        <v>1</v>
      </c>
      <c r="E303" s="28" t="n">
        <v>3</v>
      </c>
      <c r="F303" s="38" t="s">
        <v>2080</v>
      </c>
      <c r="G303" s="28" t="s">
        <v>1022</v>
      </c>
      <c r="H303" s="27" t="s">
        <v>570</v>
      </c>
      <c r="I303" s="27" t="s">
        <v>2081</v>
      </c>
      <c r="J303" s="27" t="s">
        <v>2082</v>
      </c>
      <c r="K303" s="27" t="s">
        <v>2523</v>
      </c>
    </row>
    <row r="304" customFormat="false" ht="39" hidden="false" customHeight="true" outlineLevel="0" collapsed="false">
      <c r="A304" s="28" t="s">
        <v>710</v>
      </c>
      <c r="B304" s="32" t="s">
        <v>63</v>
      </c>
      <c r="C304" s="28" t="n">
        <v>1</v>
      </c>
      <c r="D304" s="28" t="n">
        <v>2</v>
      </c>
      <c r="E304" s="28" t="n">
        <v>1</v>
      </c>
      <c r="F304" s="38" t="s">
        <v>2084</v>
      </c>
      <c r="G304" s="28" t="s">
        <v>1024</v>
      </c>
      <c r="H304" s="27" t="s">
        <v>580</v>
      </c>
      <c r="I304" s="27" t="s">
        <v>2524</v>
      </c>
      <c r="J304" s="27" t="s">
        <v>2525</v>
      </c>
      <c r="K304" s="27" t="s">
        <v>2087</v>
      </c>
    </row>
    <row r="305" customFormat="false" ht="51.75" hidden="false" customHeight="true" outlineLevel="0" collapsed="false">
      <c r="A305" s="28" t="s">
        <v>710</v>
      </c>
      <c r="B305" s="32" t="s">
        <v>63</v>
      </c>
      <c r="C305" s="28" t="n">
        <v>1</v>
      </c>
      <c r="D305" s="28" t="n">
        <v>2</v>
      </c>
      <c r="E305" s="28" t="n">
        <v>2</v>
      </c>
      <c r="F305" s="38" t="s">
        <v>2088</v>
      </c>
      <c r="G305" s="28" t="s">
        <v>1024</v>
      </c>
      <c r="H305" s="27" t="s">
        <v>580</v>
      </c>
      <c r="I305" s="27" t="s">
        <v>2089</v>
      </c>
      <c r="J305" s="27" t="s">
        <v>2526</v>
      </c>
      <c r="K305" s="27" t="s">
        <v>2091</v>
      </c>
    </row>
    <row r="306" customFormat="false" ht="30" hidden="false" customHeight="true" outlineLevel="0" collapsed="false">
      <c r="A306" s="28" t="s">
        <v>710</v>
      </c>
      <c r="B306" s="32" t="s">
        <v>63</v>
      </c>
      <c r="C306" s="28" t="n">
        <v>1</v>
      </c>
      <c r="D306" s="28" t="n">
        <v>3</v>
      </c>
      <c r="E306" s="28" t="n">
        <v>1</v>
      </c>
      <c r="F306" s="38" t="s">
        <v>2092</v>
      </c>
      <c r="G306" s="28" t="s">
        <v>1028</v>
      </c>
      <c r="H306" s="27" t="s">
        <v>589</v>
      </c>
      <c r="I306" s="27" t="s">
        <v>2093</v>
      </c>
      <c r="J306" s="27" t="s">
        <v>2094</v>
      </c>
      <c r="K306" s="27" t="s">
        <v>2527</v>
      </c>
    </row>
    <row r="307" customFormat="false" ht="30" hidden="false" customHeight="true" outlineLevel="0" collapsed="false">
      <c r="A307" s="28" t="s">
        <v>710</v>
      </c>
      <c r="B307" s="32" t="s">
        <v>63</v>
      </c>
      <c r="C307" s="28" t="n">
        <v>1</v>
      </c>
      <c r="D307" s="28" t="n">
        <v>3</v>
      </c>
      <c r="E307" s="28" t="n">
        <v>2</v>
      </c>
      <c r="F307" s="38" t="s">
        <v>2096</v>
      </c>
      <c r="G307" s="28" t="s">
        <v>1028</v>
      </c>
      <c r="H307" s="27" t="s">
        <v>589</v>
      </c>
      <c r="I307" s="27" t="s">
        <v>2528</v>
      </c>
      <c r="J307" s="31" t="s">
        <v>2529</v>
      </c>
      <c r="K307" s="27" t="s">
        <v>2530</v>
      </c>
    </row>
    <row r="308" customFormat="false" ht="30" hidden="false" customHeight="true" outlineLevel="0" collapsed="false">
      <c r="A308" s="28" t="s">
        <v>710</v>
      </c>
      <c r="B308" s="32" t="s">
        <v>63</v>
      </c>
      <c r="C308" s="28" t="n">
        <v>1</v>
      </c>
      <c r="D308" s="28" t="n">
        <v>3</v>
      </c>
      <c r="E308" s="28" t="n">
        <v>3</v>
      </c>
      <c r="F308" s="38" t="s">
        <v>2100</v>
      </c>
      <c r="G308" s="28" t="s">
        <v>1028</v>
      </c>
      <c r="H308" s="27" t="s">
        <v>589</v>
      </c>
      <c r="I308" s="27" t="s">
        <v>2101</v>
      </c>
      <c r="J308" s="27" t="s">
        <v>2531</v>
      </c>
      <c r="K308" s="27" t="s">
        <v>2532</v>
      </c>
    </row>
    <row r="309" customFormat="false" ht="39" hidden="false" customHeight="true" outlineLevel="0" collapsed="false">
      <c r="A309" s="28" t="s">
        <v>710</v>
      </c>
      <c r="B309" s="32" t="s">
        <v>63</v>
      </c>
      <c r="C309" s="28" t="n">
        <v>1</v>
      </c>
      <c r="D309" s="28" t="n">
        <v>4</v>
      </c>
      <c r="E309" s="28" t="n">
        <v>1</v>
      </c>
      <c r="F309" s="38" t="s">
        <v>599</v>
      </c>
      <c r="G309" s="28" t="s">
        <v>1031</v>
      </c>
      <c r="H309" s="27" t="s">
        <v>1033</v>
      </c>
      <c r="I309" s="27" t="s">
        <v>2533</v>
      </c>
      <c r="J309" s="27" t="s">
        <v>2534</v>
      </c>
      <c r="K309" s="27" t="s">
        <v>2535</v>
      </c>
    </row>
    <row r="310" customFormat="false" ht="30" hidden="false" customHeight="true" outlineLevel="0" collapsed="false">
      <c r="A310" s="28" t="s">
        <v>710</v>
      </c>
      <c r="B310" s="32" t="s">
        <v>63</v>
      </c>
      <c r="C310" s="28" t="n">
        <v>2</v>
      </c>
      <c r="D310" s="28" t="n">
        <v>1</v>
      </c>
      <c r="E310" s="28" t="n">
        <v>1</v>
      </c>
      <c r="F310" s="38" t="s">
        <v>2107</v>
      </c>
      <c r="G310" s="28" t="s">
        <v>1036</v>
      </c>
      <c r="H310" s="27" t="s">
        <v>1039</v>
      </c>
      <c r="I310" s="27" t="s">
        <v>2536</v>
      </c>
      <c r="J310" s="27" t="s">
        <v>2537</v>
      </c>
      <c r="K310" s="27" t="s">
        <v>2538</v>
      </c>
    </row>
    <row r="311" customFormat="false" ht="39" hidden="false" customHeight="true" outlineLevel="0" collapsed="false">
      <c r="A311" s="28" t="s">
        <v>710</v>
      </c>
      <c r="B311" s="32" t="s">
        <v>63</v>
      </c>
      <c r="C311" s="28" t="n">
        <v>2</v>
      </c>
      <c r="D311" s="28" t="n">
        <v>1</v>
      </c>
      <c r="E311" s="28" t="n">
        <v>2</v>
      </c>
      <c r="F311" s="38" t="s">
        <v>2111</v>
      </c>
      <c r="G311" s="28" t="s">
        <v>1036</v>
      </c>
      <c r="H311" s="27" t="s">
        <v>1039</v>
      </c>
      <c r="I311" s="27" t="s">
        <v>2539</v>
      </c>
      <c r="J311" s="27" t="s">
        <v>2540</v>
      </c>
      <c r="K311" s="27" t="s">
        <v>2541</v>
      </c>
    </row>
    <row r="312" customFormat="false" ht="30" hidden="false" customHeight="true" outlineLevel="0" collapsed="false">
      <c r="A312" s="28" t="s">
        <v>710</v>
      </c>
      <c r="B312" s="32" t="s">
        <v>63</v>
      </c>
      <c r="C312" s="28" t="n">
        <v>2</v>
      </c>
      <c r="D312" s="28" t="n">
        <v>1</v>
      </c>
      <c r="E312" s="28" t="n">
        <v>3</v>
      </c>
      <c r="F312" s="38" t="s">
        <v>2115</v>
      </c>
      <c r="G312" s="28" t="s">
        <v>1036</v>
      </c>
      <c r="H312" s="27" t="s">
        <v>1039</v>
      </c>
      <c r="I312" s="27" t="s">
        <v>2542</v>
      </c>
      <c r="J312" s="27" t="s">
        <v>2543</v>
      </c>
      <c r="K312" s="27" t="s">
        <v>2544</v>
      </c>
    </row>
    <row r="313" customFormat="false" ht="30" hidden="false" customHeight="true" outlineLevel="0" collapsed="false">
      <c r="A313" s="28" t="s">
        <v>710</v>
      </c>
      <c r="B313" s="32" t="s">
        <v>63</v>
      </c>
      <c r="C313" s="28" t="n">
        <v>2</v>
      </c>
      <c r="D313" s="28" t="n">
        <v>2</v>
      </c>
      <c r="E313" s="28" t="n">
        <v>1</v>
      </c>
      <c r="F313" s="38" t="s">
        <v>2119</v>
      </c>
      <c r="G313" s="28" t="s">
        <v>1044</v>
      </c>
      <c r="H313" s="27" t="s">
        <v>1047</v>
      </c>
      <c r="I313" s="27" t="s">
        <v>2545</v>
      </c>
      <c r="J313" s="27" t="s">
        <v>2546</v>
      </c>
      <c r="K313" s="27" t="s">
        <v>2547</v>
      </c>
    </row>
    <row r="314" customFormat="false" ht="51.75" hidden="false" customHeight="true" outlineLevel="0" collapsed="false">
      <c r="A314" s="28" t="s">
        <v>710</v>
      </c>
      <c r="B314" s="32" t="s">
        <v>63</v>
      </c>
      <c r="C314" s="28" t="n">
        <v>2</v>
      </c>
      <c r="D314" s="28" t="n">
        <v>2</v>
      </c>
      <c r="E314" s="28" t="n">
        <v>2</v>
      </c>
      <c r="F314" s="38" t="s">
        <v>2123</v>
      </c>
      <c r="G314" s="28" t="s">
        <v>1044</v>
      </c>
      <c r="H314" s="27" t="s">
        <v>1047</v>
      </c>
      <c r="I314" s="27" t="s">
        <v>2548</v>
      </c>
      <c r="J314" s="27" t="s">
        <v>2549</v>
      </c>
      <c r="K314" s="27" t="s">
        <v>2550</v>
      </c>
    </row>
    <row r="315" customFormat="false" ht="39" hidden="false" customHeight="true" outlineLevel="0" collapsed="false">
      <c r="A315" s="28" t="s">
        <v>710</v>
      </c>
      <c r="B315" s="32" t="s">
        <v>63</v>
      </c>
      <c r="C315" s="28" t="n">
        <v>2</v>
      </c>
      <c r="D315" s="28" t="n">
        <v>3</v>
      </c>
      <c r="E315" s="28" t="n">
        <v>1</v>
      </c>
      <c r="F315" s="38" t="s">
        <v>627</v>
      </c>
      <c r="G315" s="28" t="s">
        <v>1050</v>
      </c>
      <c r="H315" s="27" t="s">
        <v>1053</v>
      </c>
      <c r="I315" s="27" t="s">
        <v>2551</v>
      </c>
      <c r="J315" s="27" t="s">
        <v>2552</v>
      </c>
      <c r="K315" s="27" t="s">
        <v>2553</v>
      </c>
    </row>
    <row r="316" customFormat="false" ht="39" hidden="false" customHeight="true" outlineLevel="0" collapsed="false">
      <c r="A316" s="28" t="s">
        <v>710</v>
      </c>
      <c r="B316" s="32" t="s">
        <v>63</v>
      </c>
      <c r="C316" s="28" t="n">
        <v>2</v>
      </c>
      <c r="D316" s="28" t="n">
        <v>4</v>
      </c>
      <c r="E316" s="28" t="n">
        <v>1</v>
      </c>
      <c r="F316" s="38" t="s">
        <v>2130</v>
      </c>
      <c r="G316" s="28" t="s">
        <v>1057</v>
      </c>
      <c r="H316" s="27" t="s">
        <v>634</v>
      </c>
      <c r="I316" s="27" t="s">
        <v>2131</v>
      </c>
      <c r="J316" s="27" t="s">
        <v>2554</v>
      </c>
      <c r="K316" s="27" t="s">
        <v>2555</v>
      </c>
    </row>
    <row r="317" customFormat="false" ht="39" hidden="false" customHeight="true" outlineLevel="0" collapsed="false">
      <c r="A317" s="28" t="s">
        <v>710</v>
      </c>
      <c r="B317" s="32" t="s">
        <v>63</v>
      </c>
      <c r="C317" s="28" t="n">
        <v>2</v>
      </c>
      <c r="D317" s="28" t="n">
        <v>4</v>
      </c>
      <c r="E317" s="28" t="n">
        <v>2</v>
      </c>
      <c r="F317" s="38" t="s">
        <v>2134</v>
      </c>
      <c r="G317" s="28" t="s">
        <v>1057</v>
      </c>
      <c r="H317" s="27" t="s">
        <v>634</v>
      </c>
      <c r="I317" s="27" t="s">
        <v>2135</v>
      </c>
      <c r="J317" s="27" t="s">
        <v>2556</v>
      </c>
      <c r="K317" s="27" t="s">
        <v>2557</v>
      </c>
    </row>
    <row r="318" customFormat="false" ht="30" hidden="false" customHeight="true" outlineLevel="0" collapsed="false">
      <c r="A318" s="28" t="s">
        <v>710</v>
      </c>
      <c r="B318" s="32" t="s">
        <v>63</v>
      </c>
      <c r="C318" s="28" t="n">
        <v>3</v>
      </c>
      <c r="D318" s="28" t="n">
        <v>1</v>
      </c>
      <c r="E318" s="28" t="n">
        <v>1</v>
      </c>
      <c r="F318" s="38" t="s">
        <v>2138</v>
      </c>
      <c r="G318" s="28" t="s">
        <v>1058</v>
      </c>
      <c r="H318" s="27" t="s">
        <v>642</v>
      </c>
      <c r="I318" s="27" t="s">
        <v>2558</v>
      </c>
      <c r="J318" s="27" t="s">
        <v>2559</v>
      </c>
      <c r="K318" s="27" t="s">
        <v>2560</v>
      </c>
    </row>
    <row r="319" customFormat="false" ht="30" hidden="false" customHeight="true" outlineLevel="0" collapsed="false">
      <c r="A319" s="28" t="s">
        <v>710</v>
      </c>
      <c r="B319" s="32" t="s">
        <v>63</v>
      </c>
      <c r="C319" s="28" t="n">
        <v>3</v>
      </c>
      <c r="D319" s="28" t="n">
        <v>1</v>
      </c>
      <c r="E319" s="28" t="n">
        <v>2</v>
      </c>
      <c r="F319" s="38" t="s">
        <v>2142</v>
      </c>
      <c r="G319" s="28" t="s">
        <v>1058</v>
      </c>
      <c r="H319" s="27" t="s">
        <v>642</v>
      </c>
      <c r="I319" s="27" t="s">
        <v>2561</v>
      </c>
      <c r="J319" s="31" t="s">
        <v>2562</v>
      </c>
      <c r="K319" s="27" t="s">
        <v>2563</v>
      </c>
    </row>
    <row r="320" customFormat="false" ht="39" hidden="false" customHeight="true" outlineLevel="0" collapsed="false">
      <c r="A320" s="28" t="s">
        <v>710</v>
      </c>
      <c r="B320" s="32" t="s">
        <v>63</v>
      </c>
      <c r="C320" s="28" t="n">
        <v>3</v>
      </c>
      <c r="D320" s="28" t="n">
        <v>1</v>
      </c>
      <c r="E320" s="28" t="n">
        <v>3</v>
      </c>
      <c r="F320" s="38" t="s">
        <v>2146</v>
      </c>
      <c r="G320" s="28" t="s">
        <v>1058</v>
      </c>
      <c r="H320" s="27" t="s">
        <v>642</v>
      </c>
      <c r="I320" s="27" t="s">
        <v>2564</v>
      </c>
      <c r="J320" s="27" t="s">
        <v>2565</v>
      </c>
      <c r="K320" s="27" t="s">
        <v>2566</v>
      </c>
    </row>
    <row r="321" customFormat="false" ht="30" hidden="false" customHeight="true" outlineLevel="0" collapsed="false">
      <c r="A321" s="28" t="s">
        <v>710</v>
      </c>
      <c r="B321" s="32" t="s">
        <v>63</v>
      </c>
      <c r="C321" s="28" t="n">
        <v>3</v>
      </c>
      <c r="D321" s="28" t="n">
        <v>1</v>
      </c>
      <c r="E321" s="28" t="n">
        <v>4</v>
      </c>
      <c r="F321" s="38" t="s">
        <v>2150</v>
      </c>
      <c r="G321" s="28" t="s">
        <v>1058</v>
      </c>
      <c r="H321" s="27" t="s">
        <v>642</v>
      </c>
      <c r="I321" s="27" t="s">
        <v>2567</v>
      </c>
      <c r="J321" s="27" t="s">
        <v>2568</v>
      </c>
      <c r="K321" s="27" t="s">
        <v>2569</v>
      </c>
    </row>
    <row r="322" customFormat="false" ht="30" hidden="false" customHeight="true" outlineLevel="0" collapsed="false">
      <c r="A322" s="28" t="s">
        <v>710</v>
      </c>
      <c r="B322" s="32" t="s">
        <v>63</v>
      </c>
      <c r="C322" s="28" t="n">
        <v>3</v>
      </c>
      <c r="D322" s="28" t="n">
        <v>2</v>
      </c>
      <c r="E322" s="28" t="n">
        <v>1</v>
      </c>
      <c r="F322" s="38" t="s">
        <v>2154</v>
      </c>
      <c r="G322" s="28" t="s">
        <v>1063</v>
      </c>
      <c r="H322" s="27" t="s">
        <v>652</v>
      </c>
      <c r="I322" s="27" t="s">
        <v>2570</v>
      </c>
      <c r="J322" s="27" t="s">
        <v>2571</v>
      </c>
      <c r="K322" s="27" t="s">
        <v>2572</v>
      </c>
    </row>
    <row r="323" customFormat="false" ht="39" hidden="false" customHeight="true" outlineLevel="0" collapsed="false">
      <c r="A323" s="28" t="s">
        <v>710</v>
      </c>
      <c r="B323" s="32" t="s">
        <v>63</v>
      </c>
      <c r="C323" s="28" t="n">
        <v>3</v>
      </c>
      <c r="D323" s="28" t="n">
        <v>2</v>
      </c>
      <c r="E323" s="28" t="n">
        <v>2</v>
      </c>
      <c r="F323" s="38" t="s">
        <v>2158</v>
      </c>
      <c r="G323" s="28" t="s">
        <v>1063</v>
      </c>
      <c r="H323" s="27" t="s">
        <v>652</v>
      </c>
      <c r="I323" s="27" t="s">
        <v>2573</v>
      </c>
      <c r="J323" s="27" t="s">
        <v>2574</v>
      </c>
      <c r="K323" s="27" t="s">
        <v>2575</v>
      </c>
    </row>
    <row r="324" customFormat="false" ht="39" hidden="false" customHeight="true" outlineLevel="0" collapsed="false">
      <c r="A324" s="28" t="s">
        <v>710</v>
      </c>
      <c r="B324" s="32" t="s">
        <v>63</v>
      </c>
      <c r="C324" s="28" t="n">
        <v>3</v>
      </c>
      <c r="D324" s="28" t="n">
        <v>2</v>
      </c>
      <c r="E324" s="28" t="n">
        <v>3</v>
      </c>
      <c r="F324" s="38" t="s">
        <v>2576</v>
      </c>
      <c r="G324" s="28" t="s">
        <v>1063</v>
      </c>
      <c r="H324" s="27" t="s">
        <v>652</v>
      </c>
      <c r="I324" s="27" t="s">
        <v>2577</v>
      </c>
      <c r="J324" s="27" t="s">
        <v>2578</v>
      </c>
      <c r="K324" s="27" t="s">
        <v>2579</v>
      </c>
    </row>
    <row r="325" customFormat="false" ht="39" hidden="false" customHeight="true" outlineLevel="0" collapsed="false">
      <c r="A325" s="28" t="s">
        <v>710</v>
      </c>
      <c r="B325" s="32" t="s">
        <v>63</v>
      </c>
      <c r="C325" s="28" t="n">
        <v>3</v>
      </c>
      <c r="D325" s="28" t="n">
        <v>3</v>
      </c>
      <c r="E325" s="28" t="n">
        <v>1</v>
      </c>
      <c r="F325" s="38" t="s">
        <v>1472</v>
      </c>
      <c r="G325" s="28" t="s">
        <v>1069</v>
      </c>
      <c r="H325" s="27" t="s">
        <v>661</v>
      </c>
      <c r="I325" s="27" t="s">
        <v>2580</v>
      </c>
      <c r="J325" s="27" t="s">
        <v>2581</v>
      </c>
      <c r="K325" s="27" t="s">
        <v>2582</v>
      </c>
    </row>
    <row r="326" customFormat="false" ht="78" hidden="false" customHeight="true" outlineLevel="0" collapsed="false">
      <c r="A326" s="28" t="s">
        <v>710</v>
      </c>
      <c r="B326" s="32" t="s">
        <v>63</v>
      </c>
      <c r="C326" s="28" t="n">
        <v>3</v>
      </c>
      <c r="D326" s="28" t="n">
        <v>3</v>
      </c>
      <c r="E326" s="28" t="n">
        <v>2</v>
      </c>
      <c r="F326" s="38" t="s">
        <v>2165</v>
      </c>
      <c r="G326" s="28" t="s">
        <v>1069</v>
      </c>
      <c r="H326" s="27" t="s">
        <v>661</v>
      </c>
      <c r="I326" s="27" t="s">
        <v>2583</v>
      </c>
      <c r="J326" s="31" t="s">
        <v>2584</v>
      </c>
      <c r="K326" s="27" t="s">
        <v>2585</v>
      </c>
    </row>
    <row r="327" customFormat="false" ht="51.75" hidden="false" customHeight="true" outlineLevel="0" collapsed="false">
      <c r="A327" s="28" t="s">
        <v>710</v>
      </c>
      <c r="B327" s="32" t="s">
        <v>63</v>
      </c>
      <c r="C327" s="28" t="n">
        <v>3</v>
      </c>
      <c r="D327" s="28" t="n">
        <v>4</v>
      </c>
      <c r="E327" s="28" t="n">
        <v>1</v>
      </c>
      <c r="F327" s="38" t="s">
        <v>2177</v>
      </c>
      <c r="G327" s="28" t="s">
        <v>1074</v>
      </c>
      <c r="H327" s="27" t="s">
        <v>1077</v>
      </c>
      <c r="I327" s="27" t="s">
        <v>2586</v>
      </c>
      <c r="J327" s="27" t="s">
        <v>2587</v>
      </c>
      <c r="K327" s="27" t="s">
        <v>2588</v>
      </c>
    </row>
    <row r="328" customFormat="false" ht="51.75" hidden="false" customHeight="true" outlineLevel="0" collapsed="false">
      <c r="A328" s="28" t="s">
        <v>710</v>
      </c>
      <c r="B328" s="32" t="s">
        <v>63</v>
      </c>
      <c r="C328" s="28" t="n">
        <v>3</v>
      </c>
      <c r="D328" s="28" t="n">
        <v>4</v>
      </c>
      <c r="E328" s="28" t="n">
        <v>2</v>
      </c>
      <c r="F328" s="38" t="s">
        <v>2181</v>
      </c>
      <c r="G328" s="28" t="s">
        <v>1074</v>
      </c>
      <c r="H328" s="27" t="s">
        <v>1077</v>
      </c>
      <c r="I328" s="27" t="s">
        <v>2589</v>
      </c>
      <c r="J328" s="31" t="s">
        <v>2590</v>
      </c>
      <c r="K328" s="27" t="s">
        <v>2591</v>
      </c>
    </row>
    <row r="329" customFormat="false" ht="51.75" hidden="false" customHeight="true" outlineLevel="0" collapsed="false">
      <c r="A329" s="28" t="s">
        <v>710</v>
      </c>
      <c r="B329" s="32" t="s">
        <v>63</v>
      </c>
      <c r="C329" s="28" t="n">
        <v>4</v>
      </c>
      <c r="D329" s="28" t="n">
        <v>1</v>
      </c>
      <c r="E329" s="28" t="n">
        <v>1</v>
      </c>
      <c r="F329" s="38" t="s">
        <v>680</v>
      </c>
      <c r="G329" s="28" t="s">
        <v>1081</v>
      </c>
      <c r="H329" s="27" t="s">
        <v>1084</v>
      </c>
      <c r="I329" s="27" t="s">
        <v>2592</v>
      </c>
      <c r="J329" s="27" t="s">
        <v>2593</v>
      </c>
      <c r="K329" s="27" t="s">
        <v>2594</v>
      </c>
    </row>
    <row r="330" customFormat="false" ht="30" hidden="false" customHeight="true" outlineLevel="0" collapsed="false">
      <c r="A330" s="28" t="s">
        <v>710</v>
      </c>
      <c r="B330" s="32" t="s">
        <v>63</v>
      </c>
      <c r="C330" s="28" t="n">
        <v>4</v>
      </c>
      <c r="D330" s="28" t="n">
        <v>2</v>
      </c>
      <c r="E330" s="28" t="n">
        <v>1</v>
      </c>
      <c r="F330" s="38" t="s">
        <v>2188</v>
      </c>
      <c r="G330" s="28" t="s">
        <v>1088</v>
      </c>
      <c r="H330" s="27" t="s">
        <v>687</v>
      </c>
      <c r="I330" s="27" t="s">
        <v>2595</v>
      </c>
      <c r="J330" s="27" t="s">
        <v>2596</v>
      </c>
      <c r="K330" s="27" t="s">
        <v>2597</v>
      </c>
    </row>
    <row r="331" customFormat="false" ht="30" hidden="false" customHeight="true" outlineLevel="0" collapsed="false">
      <c r="A331" s="28" t="s">
        <v>710</v>
      </c>
      <c r="B331" s="32" t="s">
        <v>63</v>
      </c>
      <c r="C331" s="28" t="n">
        <v>4</v>
      </c>
      <c r="D331" s="28" t="n">
        <v>2</v>
      </c>
      <c r="E331" s="28" t="n">
        <v>2</v>
      </c>
      <c r="F331" s="38" t="s">
        <v>2192</v>
      </c>
      <c r="G331" s="28" t="s">
        <v>1088</v>
      </c>
      <c r="H331" s="27" t="s">
        <v>687</v>
      </c>
      <c r="I331" s="27" t="s">
        <v>2598</v>
      </c>
      <c r="J331" s="27" t="s">
        <v>2599</v>
      </c>
      <c r="K331" s="27" t="s">
        <v>2600</v>
      </c>
    </row>
    <row r="332" customFormat="false" ht="90.75" hidden="false" customHeight="true" outlineLevel="0" collapsed="false">
      <c r="A332" s="28" t="s">
        <v>710</v>
      </c>
      <c r="B332" s="32" t="s">
        <v>63</v>
      </c>
      <c r="C332" s="28" t="n">
        <v>4</v>
      </c>
      <c r="D332" s="28" t="n">
        <v>3</v>
      </c>
      <c r="E332" s="28" t="n">
        <v>1</v>
      </c>
      <c r="F332" s="38" t="s">
        <v>2196</v>
      </c>
      <c r="G332" s="28" t="s">
        <v>1094</v>
      </c>
      <c r="H332" s="27" t="s">
        <v>1097</v>
      </c>
      <c r="I332" s="27" t="s">
        <v>2601</v>
      </c>
      <c r="J332" s="31" t="s">
        <v>2602</v>
      </c>
      <c r="K332" s="27" t="s">
        <v>2603</v>
      </c>
    </row>
    <row r="333" customFormat="false" ht="103.5" hidden="false" customHeight="true" outlineLevel="0" collapsed="false">
      <c r="A333" s="28" t="s">
        <v>710</v>
      </c>
      <c r="B333" s="32" t="s">
        <v>63</v>
      </c>
      <c r="C333" s="28" t="n">
        <v>4</v>
      </c>
      <c r="D333" s="28" t="n">
        <v>3</v>
      </c>
      <c r="E333" s="28" t="n">
        <v>2</v>
      </c>
      <c r="F333" s="38" t="s">
        <v>2200</v>
      </c>
      <c r="G333" s="28" t="s">
        <v>1094</v>
      </c>
      <c r="H333" s="27" t="s">
        <v>1097</v>
      </c>
      <c r="I333" s="27" t="s">
        <v>2604</v>
      </c>
      <c r="J333" s="31" t="s">
        <v>2605</v>
      </c>
      <c r="K333" s="27" t="s">
        <v>2606</v>
      </c>
    </row>
    <row r="334" customFormat="false" ht="51.75" hidden="false" customHeight="true" outlineLevel="0" collapsed="false">
      <c r="A334" s="28" t="s">
        <v>710</v>
      </c>
      <c r="B334" s="32" t="s">
        <v>63</v>
      </c>
      <c r="C334" s="28" t="n">
        <v>4</v>
      </c>
      <c r="D334" s="28" t="n">
        <v>4</v>
      </c>
      <c r="E334" s="28" t="n">
        <v>1</v>
      </c>
      <c r="F334" s="38" t="s">
        <v>2204</v>
      </c>
      <c r="G334" s="28" t="s">
        <v>1101</v>
      </c>
      <c r="H334" s="27" t="s">
        <v>1104</v>
      </c>
      <c r="I334" s="27" t="s">
        <v>2607</v>
      </c>
      <c r="J334" s="31" t="s">
        <v>2608</v>
      </c>
      <c r="K334" s="27" t="s">
        <v>2609</v>
      </c>
    </row>
    <row r="335" customFormat="false" ht="78" hidden="false" customHeight="true" outlineLevel="0" collapsed="false">
      <c r="A335" s="28" t="s">
        <v>710</v>
      </c>
      <c r="B335" s="32" t="s">
        <v>63</v>
      </c>
      <c r="C335" s="28" t="n">
        <v>4</v>
      </c>
      <c r="D335" s="28" t="n">
        <v>4</v>
      </c>
      <c r="E335" s="28" t="n">
        <v>2</v>
      </c>
      <c r="F335" s="38" t="s">
        <v>2207</v>
      </c>
      <c r="G335" s="28" t="s">
        <v>1101</v>
      </c>
      <c r="H335" s="27" t="s">
        <v>1104</v>
      </c>
      <c r="I335" s="27" t="s">
        <v>2610</v>
      </c>
      <c r="J335" s="31" t="s">
        <v>2611</v>
      </c>
      <c r="K335" s="27" t="s">
        <v>2612</v>
      </c>
    </row>
    <row r="336" customFormat="false" ht="30" hidden="false" customHeight="true" outlineLevel="0" collapsed="false">
      <c r="A336" s="28" t="s">
        <v>1109</v>
      </c>
      <c r="B336" s="29" t="s">
        <v>60</v>
      </c>
      <c r="C336" s="28" t="n">
        <v>1</v>
      </c>
      <c r="D336" s="28" t="n">
        <v>1</v>
      </c>
      <c r="E336" s="28" t="n">
        <v>1</v>
      </c>
      <c r="F336" s="38" t="s">
        <v>1520</v>
      </c>
      <c r="G336" s="28" t="s">
        <v>1108</v>
      </c>
      <c r="H336" s="27" t="s">
        <v>97</v>
      </c>
      <c r="I336" s="27" t="s">
        <v>1521</v>
      </c>
      <c r="J336" s="31" t="s">
        <v>2613</v>
      </c>
      <c r="K336" s="27" t="s">
        <v>2614</v>
      </c>
    </row>
    <row r="337" customFormat="false" ht="30" hidden="false" customHeight="true" outlineLevel="0" collapsed="false">
      <c r="A337" s="28" t="s">
        <v>1109</v>
      </c>
      <c r="B337" s="29" t="s">
        <v>60</v>
      </c>
      <c r="C337" s="28" t="n">
        <v>1</v>
      </c>
      <c r="D337" s="28" t="n">
        <v>1</v>
      </c>
      <c r="E337" s="28" t="n">
        <v>2</v>
      </c>
      <c r="F337" s="38" t="s">
        <v>1524</v>
      </c>
      <c r="G337" s="28" t="s">
        <v>1108</v>
      </c>
      <c r="H337" s="27" t="s">
        <v>97</v>
      </c>
      <c r="I337" s="27" t="s">
        <v>1525</v>
      </c>
      <c r="J337" s="31" t="s">
        <v>2615</v>
      </c>
      <c r="K337" s="27" t="s">
        <v>2616</v>
      </c>
    </row>
    <row r="338" customFormat="false" ht="30" hidden="false" customHeight="true" outlineLevel="0" collapsed="false">
      <c r="A338" s="28" t="s">
        <v>1109</v>
      </c>
      <c r="B338" s="29" t="s">
        <v>60</v>
      </c>
      <c r="C338" s="28" t="n">
        <v>1</v>
      </c>
      <c r="D338" s="28" t="n">
        <v>1</v>
      </c>
      <c r="E338" s="28" t="n">
        <v>3</v>
      </c>
      <c r="F338" s="38" t="s">
        <v>1528</v>
      </c>
      <c r="G338" s="28" t="s">
        <v>1108</v>
      </c>
      <c r="H338" s="27" t="s">
        <v>97</v>
      </c>
      <c r="I338" s="27" t="s">
        <v>1529</v>
      </c>
      <c r="J338" s="31" t="s">
        <v>2617</v>
      </c>
      <c r="K338" s="27" t="s">
        <v>2618</v>
      </c>
    </row>
    <row r="339" customFormat="false" ht="30" hidden="false" customHeight="true" outlineLevel="0" collapsed="false">
      <c r="A339" s="28" t="s">
        <v>1109</v>
      </c>
      <c r="B339" s="29" t="s">
        <v>60</v>
      </c>
      <c r="C339" s="28" t="n">
        <v>1</v>
      </c>
      <c r="D339" s="28" t="n">
        <v>1</v>
      </c>
      <c r="E339" s="28" t="n">
        <v>4</v>
      </c>
      <c r="F339" s="38" t="s">
        <v>2619</v>
      </c>
      <c r="G339" s="28" t="s">
        <v>1108</v>
      </c>
      <c r="H339" s="27" t="s">
        <v>97</v>
      </c>
      <c r="I339" s="27" t="s">
        <v>2620</v>
      </c>
      <c r="J339" s="31" t="s">
        <v>2621</v>
      </c>
      <c r="K339" s="27" t="s">
        <v>2622</v>
      </c>
    </row>
    <row r="340" customFormat="false" ht="30" hidden="false" customHeight="true" outlineLevel="0" collapsed="false">
      <c r="A340" s="28" t="s">
        <v>1109</v>
      </c>
      <c r="B340" s="29" t="s">
        <v>60</v>
      </c>
      <c r="C340" s="28" t="n">
        <v>1</v>
      </c>
      <c r="D340" s="28" t="n">
        <v>1</v>
      </c>
      <c r="E340" s="28" t="n">
        <v>5</v>
      </c>
      <c r="F340" s="38" t="s">
        <v>2623</v>
      </c>
      <c r="G340" s="28" t="s">
        <v>1108</v>
      </c>
      <c r="H340" s="27" t="s">
        <v>97</v>
      </c>
      <c r="I340" s="27" t="s">
        <v>2624</v>
      </c>
      <c r="J340" s="27" t="s">
        <v>2625</v>
      </c>
      <c r="K340" s="27" t="s">
        <v>2626</v>
      </c>
    </row>
    <row r="341" customFormat="false" ht="39" hidden="false" customHeight="true" outlineLevel="0" collapsed="false">
      <c r="A341" s="28" t="s">
        <v>1109</v>
      </c>
      <c r="B341" s="29" t="s">
        <v>60</v>
      </c>
      <c r="C341" s="28" t="n">
        <v>1</v>
      </c>
      <c r="D341" s="28" t="n">
        <v>2</v>
      </c>
      <c r="E341" s="28" t="n">
        <v>1</v>
      </c>
      <c r="F341" s="38" t="s">
        <v>1532</v>
      </c>
      <c r="G341" s="28" t="s">
        <v>1113</v>
      </c>
      <c r="H341" s="27" t="s">
        <v>108</v>
      </c>
      <c r="I341" s="27" t="s">
        <v>1533</v>
      </c>
      <c r="J341" s="27" t="s">
        <v>2627</v>
      </c>
      <c r="K341" s="27" t="s">
        <v>2628</v>
      </c>
    </row>
    <row r="342" customFormat="false" ht="39" hidden="false" customHeight="true" outlineLevel="0" collapsed="false">
      <c r="A342" s="28" t="s">
        <v>1109</v>
      </c>
      <c r="B342" s="29" t="s">
        <v>60</v>
      </c>
      <c r="C342" s="28" t="n">
        <v>1</v>
      </c>
      <c r="D342" s="28" t="n">
        <v>2</v>
      </c>
      <c r="E342" s="28" t="n">
        <v>2</v>
      </c>
      <c r="F342" s="38" t="s">
        <v>1536</v>
      </c>
      <c r="G342" s="28" t="s">
        <v>1113</v>
      </c>
      <c r="H342" s="27" t="s">
        <v>108</v>
      </c>
      <c r="I342" s="27" t="s">
        <v>1537</v>
      </c>
      <c r="J342" s="27" t="s">
        <v>2629</v>
      </c>
      <c r="K342" s="27" t="s">
        <v>2630</v>
      </c>
    </row>
    <row r="343" customFormat="false" ht="39" hidden="false" customHeight="true" outlineLevel="0" collapsed="false">
      <c r="A343" s="28" t="s">
        <v>1109</v>
      </c>
      <c r="B343" s="29" t="s">
        <v>60</v>
      </c>
      <c r="C343" s="28" t="n">
        <v>1</v>
      </c>
      <c r="D343" s="28" t="n">
        <v>3</v>
      </c>
      <c r="E343" s="28" t="n">
        <v>1</v>
      </c>
      <c r="F343" s="38" t="s">
        <v>1539</v>
      </c>
      <c r="G343" s="28" t="s">
        <v>1114</v>
      </c>
      <c r="H343" s="27" t="s">
        <v>1117</v>
      </c>
      <c r="I343" s="27" t="s">
        <v>2631</v>
      </c>
      <c r="J343" s="27" t="s">
        <v>2632</v>
      </c>
      <c r="K343" s="27" t="s">
        <v>2633</v>
      </c>
    </row>
    <row r="344" customFormat="false" ht="39" hidden="false" customHeight="true" outlineLevel="0" collapsed="false">
      <c r="A344" s="28" t="s">
        <v>1109</v>
      </c>
      <c r="B344" s="29" t="s">
        <v>60</v>
      </c>
      <c r="C344" s="28" t="n">
        <v>1</v>
      </c>
      <c r="D344" s="28" t="n">
        <v>3</v>
      </c>
      <c r="E344" s="28" t="n">
        <v>2</v>
      </c>
      <c r="F344" s="38" t="s">
        <v>1543</v>
      </c>
      <c r="G344" s="28" t="s">
        <v>1114</v>
      </c>
      <c r="H344" s="27" t="s">
        <v>1117</v>
      </c>
      <c r="I344" s="27" t="s">
        <v>2634</v>
      </c>
      <c r="J344" s="27" t="s">
        <v>2635</v>
      </c>
      <c r="K344" s="27" t="s">
        <v>2636</v>
      </c>
    </row>
    <row r="345" customFormat="false" ht="30" hidden="false" customHeight="true" outlineLevel="0" collapsed="false">
      <c r="A345" s="28" t="s">
        <v>1109</v>
      </c>
      <c r="B345" s="29" t="s">
        <v>60</v>
      </c>
      <c r="C345" s="28" t="n">
        <v>1</v>
      </c>
      <c r="D345" s="28" t="n">
        <v>4</v>
      </c>
      <c r="E345" s="28" t="n">
        <v>1</v>
      </c>
      <c r="F345" s="38" t="s">
        <v>723</v>
      </c>
      <c r="G345" s="28" t="s">
        <v>1121</v>
      </c>
      <c r="H345" s="27" t="s">
        <v>722</v>
      </c>
      <c r="I345" s="27" t="s">
        <v>2637</v>
      </c>
      <c r="J345" s="27" t="s">
        <v>2638</v>
      </c>
      <c r="K345" s="27" t="s">
        <v>2639</v>
      </c>
    </row>
    <row r="346" customFormat="false" ht="51.75" hidden="false" customHeight="true" outlineLevel="0" collapsed="false">
      <c r="A346" s="28" t="s">
        <v>1109</v>
      </c>
      <c r="B346" s="29" t="s">
        <v>60</v>
      </c>
      <c r="C346" s="28" t="n">
        <v>1</v>
      </c>
      <c r="D346" s="28" t="n">
        <v>4</v>
      </c>
      <c r="E346" s="28" t="n">
        <v>2</v>
      </c>
      <c r="F346" s="38" t="s">
        <v>1554</v>
      </c>
      <c r="G346" s="28" t="s">
        <v>1121</v>
      </c>
      <c r="H346" s="27" t="s">
        <v>722</v>
      </c>
      <c r="I346" s="27" t="s">
        <v>2640</v>
      </c>
      <c r="J346" s="27" t="s">
        <v>2641</v>
      </c>
      <c r="K346" s="27" t="s">
        <v>2642</v>
      </c>
    </row>
    <row r="347" customFormat="false" ht="78" hidden="false" customHeight="true" outlineLevel="0" collapsed="false">
      <c r="A347" s="28" t="s">
        <v>1109</v>
      </c>
      <c r="B347" s="29" t="s">
        <v>60</v>
      </c>
      <c r="C347" s="28" t="n">
        <v>2</v>
      </c>
      <c r="D347" s="28" t="n">
        <v>1</v>
      </c>
      <c r="E347" s="28" t="n">
        <v>1</v>
      </c>
      <c r="F347" s="38" t="s">
        <v>1558</v>
      </c>
      <c r="G347" s="28" t="s">
        <v>1126</v>
      </c>
      <c r="H347" s="27" t="s">
        <v>1129</v>
      </c>
      <c r="I347" s="27" t="s">
        <v>2643</v>
      </c>
      <c r="J347" s="27" t="s">
        <v>2644</v>
      </c>
      <c r="K347" s="31" t="s">
        <v>2645</v>
      </c>
    </row>
    <row r="348" customFormat="false" ht="51.75" hidden="false" customHeight="true" outlineLevel="0" collapsed="false">
      <c r="A348" s="28" t="s">
        <v>1109</v>
      </c>
      <c r="B348" s="29" t="s">
        <v>60</v>
      </c>
      <c r="C348" s="28" t="n">
        <v>2</v>
      </c>
      <c r="D348" s="28" t="n">
        <v>1</v>
      </c>
      <c r="E348" s="28" t="n">
        <v>2</v>
      </c>
      <c r="F348" s="38" t="s">
        <v>1562</v>
      </c>
      <c r="G348" s="28" t="s">
        <v>1126</v>
      </c>
      <c r="H348" s="27" t="s">
        <v>1129</v>
      </c>
      <c r="I348" s="27" t="s">
        <v>2231</v>
      </c>
      <c r="J348" s="27" t="s">
        <v>2646</v>
      </c>
      <c r="K348" s="27" t="s">
        <v>2647</v>
      </c>
    </row>
    <row r="349" customFormat="false" ht="64.5" hidden="false" customHeight="true" outlineLevel="0" collapsed="false">
      <c r="A349" s="28" t="s">
        <v>1109</v>
      </c>
      <c r="B349" s="29" t="s">
        <v>60</v>
      </c>
      <c r="C349" s="28" t="n">
        <v>2</v>
      </c>
      <c r="D349" s="28" t="n">
        <v>1</v>
      </c>
      <c r="E349" s="28" t="n">
        <v>3</v>
      </c>
      <c r="F349" s="38" t="s">
        <v>1566</v>
      </c>
      <c r="G349" s="28" t="s">
        <v>1126</v>
      </c>
      <c r="H349" s="27" t="s">
        <v>1129</v>
      </c>
      <c r="I349" s="27" t="s">
        <v>2648</v>
      </c>
      <c r="J349" s="27" t="s">
        <v>2649</v>
      </c>
      <c r="K349" s="27" t="s">
        <v>2650</v>
      </c>
    </row>
    <row r="350" customFormat="false" ht="39" hidden="false" customHeight="true" outlineLevel="0" collapsed="false">
      <c r="A350" s="28" t="s">
        <v>1109</v>
      </c>
      <c r="B350" s="29" t="s">
        <v>60</v>
      </c>
      <c r="C350" s="28" t="n">
        <v>2</v>
      </c>
      <c r="D350" s="28" t="n">
        <v>2</v>
      </c>
      <c r="E350" s="28" t="n">
        <v>1</v>
      </c>
      <c r="F350" s="38" t="s">
        <v>147</v>
      </c>
      <c r="G350" s="28" t="s">
        <v>1133</v>
      </c>
      <c r="H350" s="27" t="s">
        <v>1135</v>
      </c>
      <c r="I350" s="27" t="s">
        <v>2651</v>
      </c>
      <c r="J350" s="27" t="s">
        <v>2652</v>
      </c>
      <c r="K350" s="27" t="s">
        <v>2653</v>
      </c>
    </row>
    <row r="351" customFormat="false" ht="39" hidden="false" customHeight="true" outlineLevel="0" collapsed="false">
      <c r="A351" s="28" t="s">
        <v>1109</v>
      </c>
      <c r="B351" s="29" t="s">
        <v>60</v>
      </c>
      <c r="C351" s="28" t="n">
        <v>2</v>
      </c>
      <c r="D351" s="28" t="n">
        <v>3</v>
      </c>
      <c r="E351" s="28" t="n">
        <v>1</v>
      </c>
      <c r="F351" s="38" t="s">
        <v>1573</v>
      </c>
      <c r="G351" s="28" t="s">
        <v>1138</v>
      </c>
      <c r="H351" s="27" t="s">
        <v>744</v>
      </c>
      <c r="I351" s="27" t="s">
        <v>2654</v>
      </c>
      <c r="J351" s="27" t="s">
        <v>2655</v>
      </c>
      <c r="K351" s="27" t="s">
        <v>2656</v>
      </c>
    </row>
    <row r="352" customFormat="false" ht="39" hidden="false" customHeight="true" outlineLevel="0" collapsed="false">
      <c r="A352" s="28" t="s">
        <v>1109</v>
      </c>
      <c r="B352" s="29" t="s">
        <v>60</v>
      </c>
      <c r="C352" s="28" t="n">
        <v>2</v>
      </c>
      <c r="D352" s="28" t="n">
        <v>3</v>
      </c>
      <c r="E352" s="28" t="n">
        <v>2</v>
      </c>
      <c r="F352" s="38" t="s">
        <v>1577</v>
      </c>
      <c r="G352" s="28" t="s">
        <v>1138</v>
      </c>
      <c r="H352" s="27" t="s">
        <v>744</v>
      </c>
      <c r="I352" s="27" t="s">
        <v>2657</v>
      </c>
      <c r="J352" s="27" t="s">
        <v>2658</v>
      </c>
      <c r="K352" s="27" t="s">
        <v>2659</v>
      </c>
    </row>
    <row r="353" customFormat="false" ht="51.75" hidden="false" customHeight="true" outlineLevel="0" collapsed="false">
      <c r="A353" s="28" t="s">
        <v>1109</v>
      </c>
      <c r="B353" s="29" t="s">
        <v>60</v>
      </c>
      <c r="C353" s="28" t="n">
        <v>2</v>
      </c>
      <c r="D353" s="28" t="n">
        <v>4</v>
      </c>
      <c r="E353" s="28" t="n">
        <v>1</v>
      </c>
      <c r="F353" s="38" t="s">
        <v>1581</v>
      </c>
      <c r="G353" s="28" t="s">
        <v>1142</v>
      </c>
      <c r="H353" s="27" t="s">
        <v>165</v>
      </c>
      <c r="I353" s="27" t="s">
        <v>2660</v>
      </c>
      <c r="J353" s="31" t="s">
        <v>2661</v>
      </c>
      <c r="K353" s="27" t="s">
        <v>2662</v>
      </c>
    </row>
    <row r="354" customFormat="false" ht="39" hidden="false" customHeight="true" outlineLevel="0" collapsed="false">
      <c r="A354" s="28" t="s">
        <v>1109</v>
      </c>
      <c r="B354" s="29" t="s">
        <v>60</v>
      </c>
      <c r="C354" s="28" t="n">
        <v>2</v>
      </c>
      <c r="D354" s="28" t="n">
        <v>4</v>
      </c>
      <c r="E354" s="28" t="n">
        <v>2</v>
      </c>
      <c r="F354" s="38" t="s">
        <v>1585</v>
      </c>
      <c r="G354" s="28" t="s">
        <v>1142</v>
      </c>
      <c r="H354" s="27" t="s">
        <v>165</v>
      </c>
      <c r="I354" s="27" t="s">
        <v>2663</v>
      </c>
      <c r="J354" s="27" t="s">
        <v>2664</v>
      </c>
      <c r="K354" s="31" t="s">
        <v>2665</v>
      </c>
    </row>
    <row r="355" customFormat="false" ht="39" hidden="false" customHeight="true" outlineLevel="0" collapsed="false">
      <c r="A355" s="28" t="s">
        <v>1109</v>
      </c>
      <c r="B355" s="29" t="s">
        <v>60</v>
      </c>
      <c r="C355" s="28" t="n">
        <v>2</v>
      </c>
      <c r="D355" s="28" t="n">
        <v>4</v>
      </c>
      <c r="E355" s="28" t="n">
        <v>3</v>
      </c>
      <c r="F355" s="38" t="s">
        <v>1589</v>
      </c>
      <c r="G355" s="28" t="s">
        <v>1142</v>
      </c>
      <c r="H355" s="27" t="s">
        <v>165</v>
      </c>
      <c r="I355" s="27" t="s">
        <v>2666</v>
      </c>
      <c r="J355" s="27" t="s">
        <v>2667</v>
      </c>
      <c r="K355" s="27" t="s">
        <v>1592</v>
      </c>
    </row>
    <row r="356" customFormat="false" ht="129.75" hidden="false" customHeight="true" outlineLevel="0" collapsed="false">
      <c r="A356" s="28" t="s">
        <v>1109</v>
      </c>
      <c r="B356" s="29" t="s">
        <v>60</v>
      </c>
      <c r="C356" s="28" t="n">
        <v>3</v>
      </c>
      <c r="D356" s="28" t="n">
        <v>1</v>
      </c>
      <c r="E356" s="28" t="n">
        <v>1</v>
      </c>
      <c r="F356" s="38" t="s">
        <v>1593</v>
      </c>
      <c r="G356" s="28" t="s">
        <v>1145</v>
      </c>
      <c r="H356" s="27" t="s">
        <v>1148</v>
      </c>
      <c r="I356" s="27" t="s">
        <v>2668</v>
      </c>
      <c r="J356" s="27" t="s">
        <v>2669</v>
      </c>
      <c r="K356" s="31" t="s">
        <v>2670</v>
      </c>
    </row>
    <row r="357" customFormat="false" ht="156" hidden="false" customHeight="true" outlineLevel="0" collapsed="false">
      <c r="A357" s="28" t="s">
        <v>1109</v>
      </c>
      <c r="B357" s="29" t="s">
        <v>60</v>
      </c>
      <c r="C357" s="28" t="n">
        <v>3</v>
      </c>
      <c r="D357" s="28" t="n">
        <v>1</v>
      </c>
      <c r="E357" s="28" t="n">
        <v>2</v>
      </c>
      <c r="F357" s="38" t="s">
        <v>1597</v>
      </c>
      <c r="G357" s="28" t="s">
        <v>1145</v>
      </c>
      <c r="H357" s="27" t="s">
        <v>1148</v>
      </c>
      <c r="I357" s="27" t="s">
        <v>1638</v>
      </c>
      <c r="J357" s="27" t="s">
        <v>2671</v>
      </c>
      <c r="K357" s="31" t="s">
        <v>2672</v>
      </c>
    </row>
    <row r="358" customFormat="false" ht="39" hidden="false" customHeight="true" outlineLevel="0" collapsed="false">
      <c r="A358" s="28" t="s">
        <v>1109</v>
      </c>
      <c r="B358" s="29" t="s">
        <v>60</v>
      </c>
      <c r="C358" s="28" t="n">
        <v>3</v>
      </c>
      <c r="D358" s="28" t="n">
        <v>2</v>
      </c>
      <c r="E358" s="28" t="n">
        <v>1</v>
      </c>
      <c r="F358" s="38" t="s">
        <v>1605</v>
      </c>
      <c r="G358" s="28" t="s">
        <v>1152</v>
      </c>
      <c r="H358" s="27" t="s">
        <v>1155</v>
      </c>
      <c r="I358" s="27" t="s">
        <v>2673</v>
      </c>
      <c r="J358" s="27" t="s">
        <v>2674</v>
      </c>
      <c r="K358" s="31" t="s">
        <v>2675</v>
      </c>
    </row>
    <row r="359" customFormat="false" ht="129.75" hidden="false" customHeight="true" outlineLevel="0" collapsed="false">
      <c r="A359" s="28" t="s">
        <v>1109</v>
      </c>
      <c r="B359" s="29" t="s">
        <v>60</v>
      </c>
      <c r="C359" s="28" t="n">
        <v>3</v>
      </c>
      <c r="D359" s="28" t="n">
        <v>2</v>
      </c>
      <c r="E359" s="28" t="n">
        <v>2</v>
      </c>
      <c r="F359" s="38" t="s">
        <v>1609</v>
      </c>
      <c r="G359" s="28" t="s">
        <v>1152</v>
      </c>
      <c r="H359" s="27" t="s">
        <v>1155</v>
      </c>
      <c r="I359" s="27" t="s">
        <v>2676</v>
      </c>
      <c r="J359" s="27" t="s">
        <v>2677</v>
      </c>
      <c r="K359" s="27" t="s">
        <v>2678</v>
      </c>
    </row>
    <row r="360" customFormat="false" ht="117" hidden="false" customHeight="true" outlineLevel="0" collapsed="false">
      <c r="A360" s="28" t="s">
        <v>1109</v>
      </c>
      <c r="B360" s="29" t="s">
        <v>60</v>
      </c>
      <c r="C360" s="28" t="n">
        <v>3</v>
      </c>
      <c r="D360" s="28" t="n">
        <v>3</v>
      </c>
      <c r="E360" s="28" t="n">
        <v>1</v>
      </c>
      <c r="F360" s="38" t="s">
        <v>1617</v>
      </c>
      <c r="G360" s="28" t="s">
        <v>1160</v>
      </c>
      <c r="H360" s="27" t="s">
        <v>1163</v>
      </c>
      <c r="I360" s="27" t="s">
        <v>2679</v>
      </c>
      <c r="J360" s="27" t="s">
        <v>2680</v>
      </c>
      <c r="K360" s="27" t="s">
        <v>2681</v>
      </c>
    </row>
    <row r="361" customFormat="false" ht="129.75" hidden="false" customHeight="true" outlineLevel="0" collapsed="false">
      <c r="A361" s="28" t="s">
        <v>1109</v>
      </c>
      <c r="B361" s="29" t="s">
        <v>60</v>
      </c>
      <c r="C361" s="28" t="n">
        <v>3</v>
      </c>
      <c r="D361" s="28" t="n">
        <v>3</v>
      </c>
      <c r="E361" s="28" t="n">
        <v>2</v>
      </c>
      <c r="F361" s="38" t="s">
        <v>1621</v>
      </c>
      <c r="G361" s="28" t="s">
        <v>1160</v>
      </c>
      <c r="H361" s="27" t="s">
        <v>1163</v>
      </c>
      <c r="I361" s="27" t="s">
        <v>2682</v>
      </c>
      <c r="J361" s="27" t="s">
        <v>2683</v>
      </c>
      <c r="K361" s="31" t="s">
        <v>2684</v>
      </c>
    </row>
    <row r="362" customFormat="false" ht="64.5" hidden="false" customHeight="true" outlineLevel="0" collapsed="false">
      <c r="A362" s="28" t="s">
        <v>1109</v>
      </c>
      <c r="B362" s="29" t="s">
        <v>60</v>
      </c>
      <c r="C362" s="28" t="n">
        <v>3</v>
      </c>
      <c r="D362" s="28" t="n">
        <v>4</v>
      </c>
      <c r="E362" s="28" t="n">
        <v>1</v>
      </c>
      <c r="F362" s="38" t="s">
        <v>1625</v>
      </c>
      <c r="G362" s="28" t="s">
        <v>1167</v>
      </c>
      <c r="H362" s="27" t="s">
        <v>1170</v>
      </c>
      <c r="I362" s="27" t="s">
        <v>2685</v>
      </c>
      <c r="J362" s="27" t="s">
        <v>2686</v>
      </c>
      <c r="K362" s="31" t="s">
        <v>2687</v>
      </c>
    </row>
    <row r="363" customFormat="false" ht="90.75" hidden="false" customHeight="true" outlineLevel="0" collapsed="false">
      <c r="A363" s="28" t="s">
        <v>1109</v>
      </c>
      <c r="B363" s="29" t="s">
        <v>60</v>
      </c>
      <c r="C363" s="28" t="n">
        <v>3</v>
      </c>
      <c r="D363" s="28" t="n">
        <v>4</v>
      </c>
      <c r="E363" s="28" t="n">
        <v>2</v>
      </c>
      <c r="F363" s="38" t="s">
        <v>1629</v>
      </c>
      <c r="G363" s="28" t="s">
        <v>1167</v>
      </c>
      <c r="H363" s="27" t="s">
        <v>1170</v>
      </c>
      <c r="I363" s="27" t="s">
        <v>2688</v>
      </c>
      <c r="J363" s="27" t="s">
        <v>2689</v>
      </c>
      <c r="K363" s="27" t="s">
        <v>2690</v>
      </c>
    </row>
    <row r="364" customFormat="false" ht="78" hidden="false" customHeight="true" outlineLevel="0" collapsed="false">
      <c r="A364" s="28" t="s">
        <v>1109</v>
      </c>
      <c r="B364" s="29" t="s">
        <v>60</v>
      </c>
      <c r="C364" s="28" t="n">
        <v>3</v>
      </c>
      <c r="D364" s="28" t="n">
        <v>4</v>
      </c>
      <c r="E364" s="28" t="n">
        <v>3</v>
      </c>
      <c r="F364" s="38" t="s">
        <v>2691</v>
      </c>
      <c r="G364" s="28" t="s">
        <v>1167</v>
      </c>
      <c r="H364" s="27" t="s">
        <v>1170</v>
      </c>
      <c r="I364" s="27" t="s">
        <v>2692</v>
      </c>
      <c r="J364" s="27" t="s">
        <v>2693</v>
      </c>
      <c r="K364" s="27" t="s">
        <v>2694</v>
      </c>
    </row>
    <row r="365" customFormat="false" ht="78" hidden="false" customHeight="true" outlineLevel="0" collapsed="false">
      <c r="A365" s="28" t="s">
        <v>1109</v>
      </c>
      <c r="B365" s="29" t="s">
        <v>60</v>
      </c>
      <c r="C365" s="28" t="n">
        <v>3</v>
      </c>
      <c r="D365" s="28" t="n">
        <v>4</v>
      </c>
      <c r="E365" s="28" t="n">
        <v>4</v>
      </c>
      <c r="F365" s="38" t="s">
        <v>2695</v>
      </c>
      <c r="G365" s="28" t="s">
        <v>1167</v>
      </c>
      <c r="H365" s="27" t="s">
        <v>1170</v>
      </c>
      <c r="I365" s="27" t="s">
        <v>2696</v>
      </c>
      <c r="J365" s="27" t="s">
        <v>2697</v>
      </c>
      <c r="K365" s="27" t="s">
        <v>2698</v>
      </c>
    </row>
    <row r="366" customFormat="false" ht="39" hidden="false" customHeight="true" outlineLevel="0" collapsed="false">
      <c r="A366" s="28" t="s">
        <v>1109</v>
      </c>
      <c r="B366" s="29" t="s">
        <v>60</v>
      </c>
      <c r="C366" s="28" t="n">
        <v>4</v>
      </c>
      <c r="D366" s="28" t="n">
        <v>1</v>
      </c>
      <c r="E366" s="28" t="n">
        <v>1</v>
      </c>
      <c r="F366" s="38" t="s">
        <v>1633</v>
      </c>
      <c r="G366" s="28" t="s">
        <v>1176</v>
      </c>
      <c r="H366" s="27" t="s">
        <v>1179</v>
      </c>
      <c r="I366" s="27" t="s">
        <v>2699</v>
      </c>
      <c r="J366" s="27" t="s">
        <v>2700</v>
      </c>
      <c r="K366" s="27" t="s">
        <v>2701</v>
      </c>
    </row>
    <row r="367" customFormat="false" ht="51.75" hidden="false" customHeight="true" outlineLevel="0" collapsed="false">
      <c r="A367" s="28" t="s">
        <v>1109</v>
      </c>
      <c r="B367" s="29" t="s">
        <v>60</v>
      </c>
      <c r="C367" s="28" t="n">
        <v>4</v>
      </c>
      <c r="D367" s="28" t="n">
        <v>1</v>
      </c>
      <c r="E367" s="28" t="n">
        <v>2</v>
      </c>
      <c r="F367" s="38" t="s">
        <v>1637</v>
      </c>
      <c r="G367" s="28" t="s">
        <v>1176</v>
      </c>
      <c r="H367" s="27" t="s">
        <v>1179</v>
      </c>
      <c r="I367" s="27" t="s">
        <v>2702</v>
      </c>
      <c r="J367" s="27" t="s">
        <v>2703</v>
      </c>
      <c r="K367" s="31" t="s">
        <v>2704</v>
      </c>
    </row>
    <row r="368" customFormat="false" ht="51.75" hidden="false" customHeight="true" outlineLevel="0" collapsed="false">
      <c r="A368" s="28" t="s">
        <v>1109</v>
      </c>
      <c r="B368" s="29" t="s">
        <v>60</v>
      </c>
      <c r="C368" s="28" t="n">
        <v>4</v>
      </c>
      <c r="D368" s="28" t="n">
        <v>1</v>
      </c>
      <c r="E368" s="28" t="n">
        <v>3</v>
      </c>
      <c r="F368" s="38" t="s">
        <v>2705</v>
      </c>
      <c r="G368" s="28" t="s">
        <v>1176</v>
      </c>
      <c r="H368" s="27" t="s">
        <v>1179</v>
      </c>
      <c r="I368" s="27" t="s">
        <v>2706</v>
      </c>
      <c r="J368" s="27" t="s">
        <v>2707</v>
      </c>
      <c r="K368" s="27" t="s">
        <v>2708</v>
      </c>
    </row>
    <row r="369" customFormat="false" ht="90.75" hidden="false" customHeight="true" outlineLevel="0" collapsed="false">
      <c r="A369" s="28" t="s">
        <v>1109</v>
      </c>
      <c r="B369" s="29" t="s">
        <v>60</v>
      </c>
      <c r="C369" s="28" t="n">
        <v>4</v>
      </c>
      <c r="D369" s="28" t="n">
        <v>2</v>
      </c>
      <c r="E369" s="28" t="n">
        <v>1</v>
      </c>
      <c r="F369" s="38" t="s">
        <v>1641</v>
      </c>
      <c r="G369" s="28" t="s">
        <v>1184</v>
      </c>
      <c r="H369" s="27" t="s">
        <v>1187</v>
      </c>
      <c r="I369" s="27" t="s">
        <v>2709</v>
      </c>
      <c r="J369" s="27" t="s">
        <v>2710</v>
      </c>
      <c r="K369" s="31" t="s">
        <v>2711</v>
      </c>
    </row>
    <row r="370" customFormat="false" ht="90.75" hidden="false" customHeight="true" outlineLevel="0" collapsed="false">
      <c r="A370" s="28" t="s">
        <v>1109</v>
      </c>
      <c r="B370" s="29" t="s">
        <v>60</v>
      </c>
      <c r="C370" s="28" t="n">
        <v>4</v>
      </c>
      <c r="D370" s="28" t="n">
        <v>2</v>
      </c>
      <c r="E370" s="28" t="n">
        <v>2</v>
      </c>
      <c r="F370" s="38" t="s">
        <v>1645</v>
      </c>
      <c r="G370" s="28" t="s">
        <v>1184</v>
      </c>
      <c r="H370" s="27" t="s">
        <v>1187</v>
      </c>
      <c r="I370" s="27" t="s">
        <v>2712</v>
      </c>
      <c r="J370" s="27" t="s">
        <v>2713</v>
      </c>
      <c r="K370" s="31" t="s">
        <v>2714</v>
      </c>
    </row>
    <row r="371" customFormat="false" ht="64.5" hidden="false" customHeight="true" outlineLevel="0" collapsed="false">
      <c r="A371" s="28" t="s">
        <v>1109</v>
      </c>
      <c r="B371" s="29" t="s">
        <v>60</v>
      </c>
      <c r="C371" s="28" t="n">
        <v>4</v>
      </c>
      <c r="D371" s="28" t="n">
        <v>2</v>
      </c>
      <c r="E371" s="28" t="n">
        <v>3</v>
      </c>
      <c r="F371" s="38" t="s">
        <v>1649</v>
      </c>
      <c r="G371" s="28" t="s">
        <v>1184</v>
      </c>
      <c r="H371" s="27" t="s">
        <v>1187</v>
      </c>
      <c r="I371" s="27" t="s">
        <v>2715</v>
      </c>
      <c r="J371" s="27" t="s">
        <v>2716</v>
      </c>
      <c r="K371" s="31" t="s">
        <v>2717</v>
      </c>
    </row>
    <row r="372" customFormat="false" ht="64.5" hidden="false" customHeight="true" outlineLevel="0" collapsed="false">
      <c r="A372" s="28" t="s">
        <v>1109</v>
      </c>
      <c r="B372" s="29" t="s">
        <v>60</v>
      </c>
      <c r="C372" s="28" t="n">
        <v>4</v>
      </c>
      <c r="D372" s="28" t="n">
        <v>3</v>
      </c>
      <c r="E372" s="28" t="n">
        <v>1</v>
      </c>
      <c r="F372" s="38" t="s">
        <v>1653</v>
      </c>
      <c r="G372" s="28" t="s">
        <v>1190</v>
      </c>
      <c r="H372" s="27" t="s">
        <v>799</v>
      </c>
      <c r="I372" s="27" t="s">
        <v>2718</v>
      </c>
      <c r="J372" s="27" t="s">
        <v>2719</v>
      </c>
      <c r="K372" s="27" t="s">
        <v>2720</v>
      </c>
    </row>
    <row r="373" customFormat="false" ht="78" hidden="false" customHeight="true" outlineLevel="0" collapsed="false">
      <c r="A373" s="28" t="s">
        <v>1109</v>
      </c>
      <c r="B373" s="29" t="s">
        <v>60</v>
      </c>
      <c r="C373" s="28" t="n">
        <v>4</v>
      </c>
      <c r="D373" s="28" t="n">
        <v>3</v>
      </c>
      <c r="E373" s="28" t="n">
        <v>2</v>
      </c>
      <c r="F373" s="38" t="s">
        <v>1657</v>
      </c>
      <c r="G373" s="28" t="s">
        <v>1190</v>
      </c>
      <c r="H373" s="27" t="s">
        <v>799</v>
      </c>
      <c r="I373" s="27" t="s">
        <v>2721</v>
      </c>
      <c r="J373" s="27" t="s">
        <v>2722</v>
      </c>
      <c r="K373" s="31" t="s">
        <v>2723</v>
      </c>
    </row>
    <row r="374" customFormat="false" ht="64.5" hidden="false" customHeight="true" outlineLevel="0" collapsed="false">
      <c r="A374" s="28" t="s">
        <v>1109</v>
      </c>
      <c r="B374" s="29" t="s">
        <v>60</v>
      </c>
      <c r="C374" s="28" t="n">
        <v>4</v>
      </c>
      <c r="D374" s="28" t="n">
        <v>3</v>
      </c>
      <c r="E374" s="28" t="n">
        <v>3</v>
      </c>
      <c r="F374" s="38" t="s">
        <v>1661</v>
      </c>
      <c r="G374" s="28" t="s">
        <v>1190</v>
      </c>
      <c r="H374" s="27" t="s">
        <v>799</v>
      </c>
      <c r="I374" s="27" t="s">
        <v>2724</v>
      </c>
      <c r="J374" s="27" t="s">
        <v>2725</v>
      </c>
      <c r="K374" s="31" t="s">
        <v>2726</v>
      </c>
    </row>
    <row r="375" customFormat="false" ht="64.5" hidden="false" customHeight="true" outlineLevel="0" collapsed="false">
      <c r="A375" s="28" t="s">
        <v>1109</v>
      </c>
      <c r="B375" s="29" t="s">
        <v>60</v>
      </c>
      <c r="C375" s="28" t="n">
        <v>4</v>
      </c>
      <c r="D375" s="28" t="n">
        <v>3</v>
      </c>
      <c r="E375" s="28" t="n">
        <v>4</v>
      </c>
      <c r="F375" s="38" t="s">
        <v>2727</v>
      </c>
      <c r="G375" s="28" t="s">
        <v>1190</v>
      </c>
      <c r="H375" s="27" t="s">
        <v>799</v>
      </c>
      <c r="I375" s="27" t="s">
        <v>2728</v>
      </c>
      <c r="J375" s="27" t="s">
        <v>2729</v>
      </c>
      <c r="K375" s="31" t="s">
        <v>2730</v>
      </c>
    </row>
    <row r="376" customFormat="false" ht="103.5" hidden="false" customHeight="true" outlineLevel="0" collapsed="false">
      <c r="A376" s="28" t="s">
        <v>1109</v>
      </c>
      <c r="B376" s="29" t="s">
        <v>60</v>
      </c>
      <c r="C376" s="28" t="n">
        <v>4</v>
      </c>
      <c r="D376" s="28" t="n">
        <v>4</v>
      </c>
      <c r="E376" s="28" t="n">
        <v>1</v>
      </c>
      <c r="F376" s="38" t="s">
        <v>806</v>
      </c>
      <c r="G376" s="28" t="s">
        <v>1196</v>
      </c>
      <c r="H376" s="27" t="s">
        <v>1199</v>
      </c>
      <c r="I376" s="27" t="s">
        <v>2731</v>
      </c>
      <c r="J376" s="27" t="s">
        <v>2732</v>
      </c>
      <c r="K376" s="31" t="s">
        <v>2733</v>
      </c>
    </row>
    <row r="377" customFormat="false" ht="129.75" hidden="false" customHeight="true" outlineLevel="0" collapsed="false">
      <c r="A377" s="28" t="s">
        <v>1109</v>
      </c>
      <c r="B377" s="29" t="s">
        <v>60</v>
      </c>
      <c r="C377" s="28" t="n">
        <v>4</v>
      </c>
      <c r="D377" s="28" t="n">
        <v>4</v>
      </c>
      <c r="E377" s="28" t="n">
        <v>2</v>
      </c>
      <c r="F377" s="38" t="s">
        <v>1668</v>
      </c>
      <c r="G377" s="28" t="s">
        <v>1196</v>
      </c>
      <c r="H377" s="27" t="s">
        <v>1199</v>
      </c>
      <c r="I377" s="27" t="s">
        <v>2734</v>
      </c>
      <c r="J377" s="27" t="s">
        <v>2735</v>
      </c>
      <c r="K377" s="27" t="s">
        <v>2736</v>
      </c>
    </row>
    <row r="378" customFormat="false" ht="78" hidden="false" customHeight="true" outlineLevel="0" collapsed="false">
      <c r="A378" s="28" t="s">
        <v>1109</v>
      </c>
      <c r="B378" s="29" t="s">
        <v>60</v>
      </c>
      <c r="C378" s="28" t="n">
        <v>4</v>
      </c>
      <c r="D378" s="28" t="n">
        <v>4</v>
      </c>
      <c r="E378" s="28" t="n">
        <v>3</v>
      </c>
      <c r="F378" s="38" t="s">
        <v>2737</v>
      </c>
      <c r="G378" s="28" t="s">
        <v>1196</v>
      </c>
      <c r="H378" s="27" t="s">
        <v>1199</v>
      </c>
      <c r="I378" s="27" t="s">
        <v>2738</v>
      </c>
      <c r="J378" s="27" t="s">
        <v>2739</v>
      </c>
      <c r="K378" s="27" t="s">
        <v>2740</v>
      </c>
    </row>
    <row r="379" customFormat="false" ht="30" hidden="false" customHeight="true" outlineLevel="0" collapsed="false">
      <c r="A379" s="28" t="s">
        <v>1109</v>
      </c>
      <c r="B379" s="36" t="s">
        <v>61</v>
      </c>
      <c r="C379" s="28" t="n">
        <v>1</v>
      </c>
      <c r="D379" s="28" t="n">
        <v>1</v>
      </c>
      <c r="E379" s="28" t="n">
        <v>1</v>
      </c>
      <c r="F379" s="38" t="s">
        <v>1672</v>
      </c>
      <c r="G379" s="28" t="s">
        <v>1203</v>
      </c>
      <c r="H379" s="27" t="s">
        <v>1206</v>
      </c>
      <c r="I379" s="27" t="s">
        <v>2741</v>
      </c>
      <c r="J379" s="27" t="s">
        <v>2742</v>
      </c>
      <c r="K379" s="31" t="s">
        <v>2743</v>
      </c>
    </row>
    <row r="380" customFormat="false" ht="30" hidden="false" customHeight="true" outlineLevel="0" collapsed="false">
      <c r="A380" s="28" t="s">
        <v>1109</v>
      </c>
      <c r="B380" s="36" t="s">
        <v>61</v>
      </c>
      <c r="C380" s="28" t="n">
        <v>1</v>
      </c>
      <c r="D380" s="28" t="n">
        <v>1</v>
      </c>
      <c r="E380" s="28" t="n">
        <v>2</v>
      </c>
      <c r="F380" s="38" t="s">
        <v>1676</v>
      </c>
      <c r="G380" s="28" t="s">
        <v>1203</v>
      </c>
      <c r="H380" s="27" t="s">
        <v>1206</v>
      </c>
      <c r="I380" s="27" t="s">
        <v>1673</v>
      </c>
      <c r="J380" s="31" t="s">
        <v>2744</v>
      </c>
      <c r="K380" s="31" t="s">
        <v>2300</v>
      </c>
    </row>
    <row r="381" customFormat="false" ht="30" hidden="false" customHeight="true" outlineLevel="0" collapsed="false">
      <c r="A381" s="28" t="s">
        <v>1109</v>
      </c>
      <c r="B381" s="36" t="s">
        <v>61</v>
      </c>
      <c r="C381" s="28" t="n">
        <v>1</v>
      </c>
      <c r="D381" s="28" t="n">
        <v>1</v>
      </c>
      <c r="E381" s="28" t="n">
        <v>3</v>
      </c>
      <c r="F381" s="38" t="s">
        <v>1680</v>
      </c>
      <c r="G381" s="28" t="s">
        <v>1203</v>
      </c>
      <c r="H381" s="27" t="s">
        <v>1206</v>
      </c>
      <c r="I381" s="27" t="s">
        <v>2301</v>
      </c>
      <c r="J381" s="27" t="s">
        <v>2745</v>
      </c>
      <c r="K381" s="31" t="s">
        <v>2746</v>
      </c>
    </row>
    <row r="382" customFormat="false" ht="30" hidden="false" customHeight="true" outlineLevel="0" collapsed="false">
      <c r="A382" s="28" t="s">
        <v>1109</v>
      </c>
      <c r="B382" s="36" t="s">
        <v>61</v>
      </c>
      <c r="C382" s="28" t="n">
        <v>1</v>
      </c>
      <c r="D382" s="28" t="n">
        <v>1</v>
      </c>
      <c r="E382" s="28" t="n">
        <v>4</v>
      </c>
      <c r="F382" s="38" t="s">
        <v>2747</v>
      </c>
      <c r="G382" s="28" t="s">
        <v>1203</v>
      </c>
      <c r="H382" s="27" t="s">
        <v>1206</v>
      </c>
      <c r="I382" s="27" t="s">
        <v>2748</v>
      </c>
      <c r="J382" s="31" t="s">
        <v>2749</v>
      </c>
      <c r="K382" s="31" t="s">
        <v>2750</v>
      </c>
    </row>
    <row r="383" customFormat="false" ht="30" hidden="false" customHeight="true" outlineLevel="0" collapsed="false">
      <c r="A383" s="28" t="s">
        <v>1109</v>
      </c>
      <c r="B383" s="36" t="s">
        <v>61</v>
      </c>
      <c r="C383" s="28" t="n">
        <v>1</v>
      </c>
      <c r="D383" s="28" t="n">
        <v>2</v>
      </c>
      <c r="E383" s="28" t="n">
        <v>1</v>
      </c>
      <c r="F383" s="38" t="s">
        <v>1684</v>
      </c>
      <c r="G383" s="28" t="s">
        <v>1210</v>
      </c>
      <c r="H383" s="27" t="s">
        <v>260</v>
      </c>
      <c r="I383" s="27" t="s">
        <v>2751</v>
      </c>
      <c r="J383" s="31" t="s">
        <v>2752</v>
      </c>
      <c r="K383" s="31" t="s">
        <v>2753</v>
      </c>
    </row>
    <row r="384" customFormat="false" ht="30" hidden="false" customHeight="true" outlineLevel="0" collapsed="false">
      <c r="A384" s="28" t="s">
        <v>1109</v>
      </c>
      <c r="B384" s="36" t="s">
        <v>61</v>
      </c>
      <c r="C384" s="28" t="n">
        <v>1</v>
      </c>
      <c r="D384" s="28" t="n">
        <v>2</v>
      </c>
      <c r="E384" s="28" t="n">
        <v>2</v>
      </c>
      <c r="F384" s="38" t="s">
        <v>1688</v>
      </c>
      <c r="G384" s="28" t="s">
        <v>1210</v>
      </c>
      <c r="H384" s="27" t="s">
        <v>260</v>
      </c>
      <c r="I384" s="27" t="s">
        <v>2754</v>
      </c>
      <c r="J384" s="31" t="s">
        <v>2755</v>
      </c>
      <c r="K384" s="27" t="s">
        <v>2756</v>
      </c>
    </row>
    <row r="385" customFormat="false" ht="30" hidden="false" customHeight="true" outlineLevel="0" collapsed="false">
      <c r="A385" s="28" t="s">
        <v>1109</v>
      </c>
      <c r="B385" s="36" t="s">
        <v>61</v>
      </c>
      <c r="C385" s="28" t="n">
        <v>1</v>
      </c>
      <c r="D385" s="28" t="n">
        <v>2</v>
      </c>
      <c r="E385" s="28" t="n">
        <v>3</v>
      </c>
      <c r="F385" s="38" t="s">
        <v>2757</v>
      </c>
      <c r="G385" s="28" t="s">
        <v>1210</v>
      </c>
      <c r="H385" s="27" t="s">
        <v>260</v>
      </c>
      <c r="I385" s="27" t="s">
        <v>2758</v>
      </c>
      <c r="J385" s="31" t="s">
        <v>2759</v>
      </c>
      <c r="K385" s="27" t="s">
        <v>2760</v>
      </c>
    </row>
    <row r="386" customFormat="false" ht="30" hidden="false" customHeight="true" outlineLevel="0" collapsed="false">
      <c r="A386" s="28" t="s">
        <v>1109</v>
      </c>
      <c r="B386" s="36" t="s">
        <v>61</v>
      </c>
      <c r="C386" s="28" t="n">
        <v>1</v>
      </c>
      <c r="D386" s="28" t="n">
        <v>3</v>
      </c>
      <c r="E386" s="28" t="n">
        <v>1</v>
      </c>
      <c r="F386" s="38" t="s">
        <v>1692</v>
      </c>
      <c r="G386" s="28" t="s">
        <v>1215</v>
      </c>
      <c r="H386" s="27" t="s">
        <v>819</v>
      </c>
      <c r="I386" s="27" t="s">
        <v>2761</v>
      </c>
      <c r="J386" s="31" t="s">
        <v>2762</v>
      </c>
      <c r="K386" s="31" t="s">
        <v>2763</v>
      </c>
    </row>
    <row r="387" customFormat="false" ht="30" hidden="false" customHeight="true" outlineLevel="0" collapsed="false">
      <c r="A387" s="28" t="s">
        <v>1109</v>
      </c>
      <c r="B387" s="36" t="s">
        <v>61</v>
      </c>
      <c r="C387" s="28" t="n">
        <v>1</v>
      </c>
      <c r="D387" s="28" t="n">
        <v>3</v>
      </c>
      <c r="E387" s="28" t="n">
        <v>2</v>
      </c>
      <c r="F387" s="38" t="s">
        <v>1696</v>
      </c>
      <c r="G387" s="28" t="s">
        <v>1215</v>
      </c>
      <c r="H387" s="27" t="s">
        <v>819</v>
      </c>
      <c r="I387" s="27" t="s">
        <v>2764</v>
      </c>
      <c r="J387" s="27" t="s">
        <v>2765</v>
      </c>
      <c r="K387" s="31" t="s">
        <v>2766</v>
      </c>
    </row>
    <row r="388" customFormat="false" ht="30" hidden="false" customHeight="true" outlineLevel="0" collapsed="false">
      <c r="A388" s="28" t="s">
        <v>1109</v>
      </c>
      <c r="B388" s="36" t="s">
        <v>61</v>
      </c>
      <c r="C388" s="28" t="n">
        <v>1</v>
      </c>
      <c r="D388" s="28" t="n">
        <v>3</v>
      </c>
      <c r="E388" s="28" t="n">
        <v>3</v>
      </c>
      <c r="F388" s="38" t="s">
        <v>1700</v>
      </c>
      <c r="G388" s="28" t="s">
        <v>1215</v>
      </c>
      <c r="H388" s="27" t="s">
        <v>819</v>
      </c>
      <c r="I388" s="27" t="s">
        <v>2767</v>
      </c>
      <c r="J388" s="31" t="s">
        <v>2768</v>
      </c>
      <c r="K388" s="31" t="s">
        <v>2769</v>
      </c>
    </row>
    <row r="389" customFormat="false" ht="30" hidden="false" customHeight="true" outlineLevel="0" collapsed="false">
      <c r="A389" s="28" t="s">
        <v>1109</v>
      </c>
      <c r="B389" s="36" t="s">
        <v>61</v>
      </c>
      <c r="C389" s="28" t="n">
        <v>1</v>
      </c>
      <c r="D389" s="28" t="n">
        <v>4</v>
      </c>
      <c r="E389" s="28" t="n">
        <v>1</v>
      </c>
      <c r="F389" s="38" t="s">
        <v>1704</v>
      </c>
      <c r="G389" s="28" t="s">
        <v>1218</v>
      </c>
      <c r="H389" s="27" t="s">
        <v>277</v>
      </c>
      <c r="I389" s="27" t="s">
        <v>2770</v>
      </c>
      <c r="J389" s="31" t="s">
        <v>2771</v>
      </c>
      <c r="K389" s="31" t="s">
        <v>2772</v>
      </c>
    </row>
    <row r="390" customFormat="false" ht="30" hidden="false" customHeight="true" outlineLevel="0" collapsed="false">
      <c r="A390" s="28" t="s">
        <v>1109</v>
      </c>
      <c r="B390" s="36" t="s">
        <v>61</v>
      </c>
      <c r="C390" s="28" t="n">
        <v>1</v>
      </c>
      <c r="D390" s="28" t="n">
        <v>4</v>
      </c>
      <c r="E390" s="28" t="n">
        <v>2</v>
      </c>
      <c r="F390" s="38" t="s">
        <v>1708</v>
      </c>
      <c r="G390" s="28" t="s">
        <v>1218</v>
      </c>
      <c r="H390" s="27" t="s">
        <v>277</v>
      </c>
      <c r="I390" s="27" t="s">
        <v>2773</v>
      </c>
      <c r="J390" s="31" t="s">
        <v>2774</v>
      </c>
      <c r="K390" s="31" t="s">
        <v>2775</v>
      </c>
    </row>
    <row r="391" customFormat="false" ht="39" hidden="false" customHeight="true" outlineLevel="0" collapsed="false">
      <c r="A391" s="28" t="s">
        <v>1109</v>
      </c>
      <c r="B391" s="36" t="s">
        <v>61</v>
      </c>
      <c r="C391" s="28" t="n">
        <v>1</v>
      </c>
      <c r="D391" s="28" t="n">
        <v>4</v>
      </c>
      <c r="E391" s="28" t="n">
        <v>3</v>
      </c>
      <c r="F391" s="38" t="s">
        <v>1712</v>
      </c>
      <c r="G391" s="28" t="s">
        <v>1218</v>
      </c>
      <c r="H391" s="27" t="s">
        <v>277</v>
      </c>
      <c r="I391" s="27" t="s">
        <v>2776</v>
      </c>
      <c r="J391" s="31" t="s">
        <v>2777</v>
      </c>
      <c r="K391" s="31" t="s">
        <v>2778</v>
      </c>
    </row>
    <row r="392" customFormat="false" ht="30" hidden="false" customHeight="true" outlineLevel="0" collapsed="false">
      <c r="A392" s="28" t="s">
        <v>1109</v>
      </c>
      <c r="B392" s="36" t="s">
        <v>61</v>
      </c>
      <c r="C392" s="28" t="n">
        <v>1</v>
      </c>
      <c r="D392" s="28" t="n">
        <v>5</v>
      </c>
      <c r="E392" s="28" t="n">
        <v>1</v>
      </c>
      <c r="F392" s="38" t="s">
        <v>1716</v>
      </c>
      <c r="G392" s="28" t="s">
        <v>1222</v>
      </c>
      <c r="H392" s="27" t="s">
        <v>286</v>
      </c>
      <c r="I392" s="27" t="s">
        <v>1717</v>
      </c>
      <c r="J392" s="27" t="s">
        <v>2779</v>
      </c>
      <c r="K392" s="27" t="s">
        <v>2780</v>
      </c>
    </row>
    <row r="393" customFormat="false" ht="39" hidden="false" customHeight="true" outlineLevel="0" collapsed="false">
      <c r="A393" s="28" t="s">
        <v>1109</v>
      </c>
      <c r="B393" s="36" t="s">
        <v>61</v>
      </c>
      <c r="C393" s="28" t="n">
        <v>1</v>
      </c>
      <c r="D393" s="28" t="n">
        <v>5</v>
      </c>
      <c r="E393" s="28" t="n">
        <v>2</v>
      </c>
      <c r="F393" s="38" t="s">
        <v>1720</v>
      </c>
      <c r="G393" s="28" t="s">
        <v>1222</v>
      </c>
      <c r="H393" s="27" t="s">
        <v>286</v>
      </c>
      <c r="I393" s="27" t="s">
        <v>1721</v>
      </c>
      <c r="J393" s="31" t="s">
        <v>2781</v>
      </c>
      <c r="K393" s="27" t="s">
        <v>2782</v>
      </c>
    </row>
    <row r="394" customFormat="false" ht="51.75" hidden="false" customHeight="true" outlineLevel="0" collapsed="false">
      <c r="A394" s="28" t="s">
        <v>1109</v>
      </c>
      <c r="B394" s="36" t="s">
        <v>61</v>
      </c>
      <c r="C394" s="28" t="n">
        <v>2</v>
      </c>
      <c r="D394" s="28" t="n">
        <v>1</v>
      </c>
      <c r="E394" s="28" t="n">
        <v>1</v>
      </c>
      <c r="F394" s="38" t="s">
        <v>1724</v>
      </c>
      <c r="G394" s="28" t="s">
        <v>1224</v>
      </c>
      <c r="H394" s="27" t="s">
        <v>829</v>
      </c>
      <c r="I394" s="27" t="s">
        <v>2783</v>
      </c>
      <c r="J394" s="27" t="s">
        <v>2784</v>
      </c>
      <c r="K394" s="31" t="s">
        <v>2785</v>
      </c>
    </row>
    <row r="395" customFormat="false" ht="39" hidden="false" customHeight="true" outlineLevel="0" collapsed="false">
      <c r="A395" s="28" t="s">
        <v>1109</v>
      </c>
      <c r="B395" s="36" t="s">
        <v>61</v>
      </c>
      <c r="C395" s="28" t="n">
        <v>2</v>
      </c>
      <c r="D395" s="28" t="n">
        <v>1</v>
      </c>
      <c r="E395" s="28" t="n">
        <v>2</v>
      </c>
      <c r="F395" s="38" t="s">
        <v>1727</v>
      </c>
      <c r="G395" s="28" t="s">
        <v>1224</v>
      </c>
      <c r="H395" s="27" t="s">
        <v>829</v>
      </c>
      <c r="I395" s="27" t="s">
        <v>2786</v>
      </c>
      <c r="J395" s="27" t="s">
        <v>2787</v>
      </c>
      <c r="K395" s="31" t="s">
        <v>2788</v>
      </c>
    </row>
    <row r="396" customFormat="false" ht="64.5" hidden="false" customHeight="true" outlineLevel="0" collapsed="false">
      <c r="A396" s="28" t="s">
        <v>1109</v>
      </c>
      <c r="B396" s="36" t="s">
        <v>61</v>
      </c>
      <c r="C396" s="28" t="n">
        <v>2</v>
      </c>
      <c r="D396" s="28" t="n">
        <v>1</v>
      </c>
      <c r="E396" s="28" t="n">
        <v>3</v>
      </c>
      <c r="F396" s="38" t="s">
        <v>1731</v>
      </c>
      <c r="G396" s="28" t="s">
        <v>1224</v>
      </c>
      <c r="H396" s="27" t="s">
        <v>829</v>
      </c>
      <c r="I396" s="27" t="s">
        <v>2789</v>
      </c>
      <c r="J396" s="27" t="s">
        <v>2790</v>
      </c>
      <c r="K396" s="31" t="s">
        <v>2791</v>
      </c>
    </row>
    <row r="397" customFormat="false" ht="51.75" hidden="false" customHeight="true" outlineLevel="0" collapsed="false">
      <c r="A397" s="28" t="s">
        <v>1109</v>
      </c>
      <c r="B397" s="36" t="s">
        <v>61</v>
      </c>
      <c r="C397" s="28" t="n">
        <v>2</v>
      </c>
      <c r="D397" s="28" t="n">
        <v>1</v>
      </c>
      <c r="E397" s="28" t="n">
        <v>4</v>
      </c>
      <c r="F397" s="38" t="s">
        <v>2792</v>
      </c>
      <c r="G397" s="28" t="s">
        <v>1224</v>
      </c>
      <c r="H397" s="27" t="s">
        <v>829</v>
      </c>
      <c r="I397" s="27" t="s">
        <v>2793</v>
      </c>
      <c r="J397" s="27" t="s">
        <v>2794</v>
      </c>
      <c r="K397" s="31" t="s">
        <v>2795</v>
      </c>
    </row>
    <row r="398" customFormat="false" ht="39" hidden="false" customHeight="true" outlineLevel="0" collapsed="false">
      <c r="A398" s="28" t="s">
        <v>1109</v>
      </c>
      <c r="B398" s="36" t="s">
        <v>61</v>
      </c>
      <c r="C398" s="28" t="n">
        <v>2</v>
      </c>
      <c r="D398" s="28" t="n">
        <v>2</v>
      </c>
      <c r="E398" s="28" t="n">
        <v>1</v>
      </c>
      <c r="F398" s="38" t="s">
        <v>1735</v>
      </c>
      <c r="G398" s="28" t="s">
        <v>1229</v>
      </c>
      <c r="H398" s="27" t="s">
        <v>836</v>
      </c>
      <c r="I398" s="27" t="s">
        <v>2796</v>
      </c>
      <c r="J398" s="31" t="s">
        <v>2797</v>
      </c>
      <c r="K398" s="31" t="s">
        <v>2798</v>
      </c>
    </row>
    <row r="399" customFormat="false" ht="30" hidden="false" customHeight="true" outlineLevel="0" collapsed="false">
      <c r="A399" s="28" t="s">
        <v>1109</v>
      </c>
      <c r="B399" s="36" t="s">
        <v>61</v>
      </c>
      <c r="C399" s="28" t="n">
        <v>2</v>
      </c>
      <c r="D399" s="28" t="n">
        <v>2</v>
      </c>
      <c r="E399" s="28" t="n">
        <v>2</v>
      </c>
      <c r="F399" s="38" t="s">
        <v>1739</v>
      </c>
      <c r="G399" s="28" t="s">
        <v>1229</v>
      </c>
      <c r="H399" s="27" t="s">
        <v>836</v>
      </c>
      <c r="I399" s="27" t="s">
        <v>2799</v>
      </c>
      <c r="J399" s="31" t="s">
        <v>2800</v>
      </c>
      <c r="K399" s="31" t="s">
        <v>2801</v>
      </c>
    </row>
    <row r="400" customFormat="false" ht="39" hidden="false" customHeight="true" outlineLevel="0" collapsed="false">
      <c r="A400" s="28" t="s">
        <v>1109</v>
      </c>
      <c r="B400" s="36" t="s">
        <v>61</v>
      </c>
      <c r="C400" s="28" t="n">
        <v>2</v>
      </c>
      <c r="D400" s="28" t="n">
        <v>2</v>
      </c>
      <c r="E400" s="28" t="n">
        <v>3</v>
      </c>
      <c r="F400" s="38" t="s">
        <v>1743</v>
      </c>
      <c r="G400" s="28" t="s">
        <v>1229</v>
      </c>
      <c r="H400" s="27" t="s">
        <v>836</v>
      </c>
      <c r="I400" s="27" t="s">
        <v>2802</v>
      </c>
      <c r="J400" s="31" t="s">
        <v>2803</v>
      </c>
      <c r="K400" s="31" t="s">
        <v>2804</v>
      </c>
    </row>
    <row r="401" customFormat="false" ht="39" hidden="false" customHeight="true" outlineLevel="0" collapsed="false">
      <c r="A401" s="28" t="s">
        <v>1109</v>
      </c>
      <c r="B401" s="36" t="s">
        <v>61</v>
      </c>
      <c r="C401" s="28" t="n">
        <v>2</v>
      </c>
      <c r="D401" s="28" t="n">
        <v>3</v>
      </c>
      <c r="E401" s="28" t="n">
        <v>1</v>
      </c>
      <c r="F401" s="38" t="s">
        <v>1747</v>
      </c>
      <c r="G401" s="28" t="s">
        <v>1233</v>
      </c>
      <c r="H401" s="27" t="s">
        <v>843</v>
      </c>
      <c r="I401" s="27" t="s">
        <v>2805</v>
      </c>
      <c r="J401" s="27" t="s">
        <v>2806</v>
      </c>
      <c r="K401" s="31" t="s">
        <v>2807</v>
      </c>
    </row>
    <row r="402" customFormat="false" ht="51.75" hidden="false" customHeight="true" outlineLevel="0" collapsed="false">
      <c r="A402" s="28" t="s">
        <v>1109</v>
      </c>
      <c r="B402" s="36" t="s">
        <v>61</v>
      </c>
      <c r="C402" s="28" t="n">
        <v>2</v>
      </c>
      <c r="D402" s="28" t="n">
        <v>3</v>
      </c>
      <c r="E402" s="28" t="n">
        <v>2</v>
      </c>
      <c r="F402" s="38" t="s">
        <v>1751</v>
      </c>
      <c r="G402" s="28" t="s">
        <v>1233</v>
      </c>
      <c r="H402" s="27" t="s">
        <v>843</v>
      </c>
      <c r="I402" s="27" t="s">
        <v>2808</v>
      </c>
      <c r="J402" s="27" t="s">
        <v>2809</v>
      </c>
      <c r="K402" s="31" t="s">
        <v>2810</v>
      </c>
    </row>
    <row r="403" customFormat="false" ht="64.5" hidden="false" customHeight="true" outlineLevel="0" collapsed="false">
      <c r="A403" s="28" t="s">
        <v>1109</v>
      </c>
      <c r="B403" s="36" t="s">
        <v>61</v>
      </c>
      <c r="C403" s="28" t="n">
        <v>2</v>
      </c>
      <c r="D403" s="28" t="n">
        <v>3</v>
      </c>
      <c r="E403" s="28" t="n">
        <v>3</v>
      </c>
      <c r="F403" s="38" t="s">
        <v>1755</v>
      </c>
      <c r="G403" s="28" t="s">
        <v>1233</v>
      </c>
      <c r="H403" s="27" t="s">
        <v>843</v>
      </c>
      <c r="I403" s="27" t="s">
        <v>2811</v>
      </c>
      <c r="J403" s="27" t="s">
        <v>2812</v>
      </c>
      <c r="K403" s="31" t="s">
        <v>2813</v>
      </c>
    </row>
    <row r="404" customFormat="false" ht="30" hidden="false" customHeight="true" outlineLevel="0" collapsed="false">
      <c r="A404" s="28" t="s">
        <v>1109</v>
      </c>
      <c r="B404" s="36" t="s">
        <v>61</v>
      </c>
      <c r="C404" s="28" t="n">
        <v>2</v>
      </c>
      <c r="D404" s="28" t="n">
        <v>4</v>
      </c>
      <c r="E404" s="28" t="n">
        <v>1</v>
      </c>
      <c r="F404" s="38" t="s">
        <v>1763</v>
      </c>
      <c r="G404" s="28" t="s">
        <v>1240</v>
      </c>
      <c r="H404" s="27" t="s">
        <v>322</v>
      </c>
      <c r="I404" s="27" t="s">
        <v>2814</v>
      </c>
      <c r="J404" s="31" t="s">
        <v>2815</v>
      </c>
      <c r="K404" s="31" t="s">
        <v>2816</v>
      </c>
    </row>
    <row r="405" customFormat="false" ht="51.75" hidden="false" customHeight="true" outlineLevel="0" collapsed="false">
      <c r="A405" s="28" t="s">
        <v>1109</v>
      </c>
      <c r="B405" s="36" t="s">
        <v>61</v>
      </c>
      <c r="C405" s="28" t="n">
        <v>2</v>
      </c>
      <c r="D405" s="28" t="n">
        <v>4</v>
      </c>
      <c r="E405" s="28" t="n">
        <v>2</v>
      </c>
      <c r="F405" s="38" t="s">
        <v>1767</v>
      </c>
      <c r="G405" s="28" t="s">
        <v>1240</v>
      </c>
      <c r="H405" s="27" t="s">
        <v>322</v>
      </c>
      <c r="I405" s="27" t="s">
        <v>2817</v>
      </c>
      <c r="J405" s="27" t="s">
        <v>2818</v>
      </c>
      <c r="K405" s="31" t="s">
        <v>2819</v>
      </c>
    </row>
    <row r="406" customFormat="false" ht="64.5" hidden="false" customHeight="true" outlineLevel="0" collapsed="false">
      <c r="A406" s="28" t="s">
        <v>1109</v>
      </c>
      <c r="B406" s="36" t="s">
        <v>61</v>
      </c>
      <c r="C406" s="28" t="n">
        <v>2</v>
      </c>
      <c r="D406" s="28" t="n">
        <v>4</v>
      </c>
      <c r="E406" s="28" t="n">
        <v>3</v>
      </c>
      <c r="F406" s="38" t="s">
        <v>1771</v>
      </c>
      <c r="G406" s="28" t="s">
        <v>1240</v>
      </c>
      <c r="H406" s="27" t="s">
        <v>322</v>
      </c>
      <c r="I406" s="27" t="s">
        <v>2820</v>
      </c>
      <c r="J406" s="27" t="s">
        <v>2821</v>
      </c>
      <c r="K406" s="31" t="s">
        <v>2822</v>
      </c>
    </row>
    <row r="407" customFormat="false" ht="78" hidden="false" customHeight="true" outlineLevel="0" collapsed="false">
      <c r="A407" s="28" t="s">
        <v>1109</v>
      </c>
      <c r="B407" s="36" t="s">
        <v>61</v>
      </c>
      <c r="C407" s="28" t="n">
        <v>2</v>
      </c>
      <c r="D407" s="28" t="n">
        <v>4</v>
      </c>
      <c r="E407" s="28" t="n">
        <v>4</v>
      </c>
      <c r="F407" s="38" t="s">
        <v>2823</v>
      </c>
      <c r="G407" s="28" t="s">
        <v>1240</v>
      </c>
      <c r="H407" s="27" t="s">
        <v>322</v>
      </c>
      <c r="I407" s="27" t="s">
        <v>2824</v>
      </c>
      <c r="J407" s="27" t="s">
        <v>2825</v>
      </c>
      <c r="K407" s="31" t="s">
        <v>2826</v>
      </c>
    </row>
    <row r="408" customFormat="false" ht="51.75" hidden="false" customHeight="true" outlineLevel="0" collapsed="false">
      <c r="A408" s="28" t="s">
        <v>1109</v>
      </c>
      <c r="B408" s="36" t="s">
        <v>61</v>
      </c>
      <c r="C408" s="28" t="n">
        <v>2</v>
      </c>
      <c r="D408" s="28" t="n">
        <v>4</v>
      </c>
      <c r="E408" s="28" t="n">
        <v>5</v>
      </c>
      <c r="F408" s="38" t="s">
        <v>2827</v>
      </c>
      <c r="G408" s="28" t="s">
        <v>1240</v>
      </c>
      <c r="H408" s="27" t="s">
        <v>322</v>
      </c>
      <c r="I408" s="27" t="s">
        <v>2828</v>
      </c>
      <c r="J408" s="27" t="s">
        <v>2829</v>
      </c>
      <c r="K408" s="31" t="s">
        <v>2830</v>
      </c>
    </row>
    <row r="409" customFormat="false" ht="78" hidden="false" customHeight="true" outlineLevel="0" collapsed="false">
      <c r="A409" s="28" t="s">
        <v>1109</v>
      </c>
      <c r="B409" s="36" t="s">
        <v>61</v>
      </c>
      <c r="C409" s="28" t="n">
        <v>2</v>
      </c>
      <c r="D409" s="28" t="n">
        <v>5</v>
      </c>
      <c r="E409" s="28" t="n">
        <v>1</v>
      </c>
      <c r="F409" s="38" t="s">
        <v>1775</v>
      </c>
      <c r="G409" s="28" t="s">
        <v>1246</v>
      </c>
      <c r="H409" s="27" t="s">
        <v>330</v>
      </c>
      <c r="I409" s="27" t="s">
        <v>2831</v>
      </c>
      <c r="J409" s="27" t="s">
        <v>2832</v>
      </c>
      <c r="K409" s="31" t="s">
        <v>2833</v>
      </c>
    </row>
    <row r="410" customFormat="false" ht="51.75" hidden="false" customHeight="true" outlineLevel="0" collapsed="false">
      <c r="A410" s="28" t="s">
        <v>1109</v>
      </c>
      <c r="B410" s="36" t="s">
        <v>61</v>
      </c>
      <c r="C410" s="28" t="n">
        <v>2</v>
      </c>
      <c r="D410" s="28" t="n">
        <v>5</v>
      </c>
      <c r="E410" s="28" t="n">
        <v>2</v>
      </c>
      <c r="F410" s="38" t="s">
        <v>1779</v>
      </c>
      <c r="G410" s="28" t="s">
        <v>1246</v>
      </c>
      <c r="H410" s="27" t="s">
        <v>330</v>
      </c>
      <c r="I410" s="27" t="s">
        <v>2834</v>
      </c>
      <c r="J410" s="27" t="s">
        <v>2835</v>
      </c>
      <c r="K410" s="31" t="s">
        <v>2836</v>
      </c>
    </row>
    <row r="411" customFormat="false" ht="64.5" hidden="false" customHeight="true" outlineLevel="0" collapsed="false">
      <c r="A411" s="28" t="s">
        <v>1109</v>
      </c>
      <c r="B411" s="36" t="s">
        <v>61</v>
      </c>
      <c r="C411" s="28" t="n">
        <v>2</v>
      </c>
      <c r="D411" s="28" t="n">
        <v>5</v>
      </c>
      <c r="E411" s="28" t="n">
        <v>3</v>
      </c>
      <c r="F411" s="38" t="s">
        <v>2837</v>
      </c>
      <c r="G411" s="28" t="s">
        <v>1246</v>
      </c>
      <c r="H411" s="27" t="s">
        <v>330</v>
      </c>
      <c r="I411" s="27" t="s">
        <v>2838</v>
      </c>
      <c r="J411" s="27" t="s">
        <v>2839</v>
      </c>
      <c r="K411" s="31" t="s">
        <v>2840</v>
      </c>
    </row>
    <row r="412" customFormat="false" ht="39" hidden="false" customHeight="true" outlineLevel="0" collapsed="false">
      <c r="A412" s="28" t="s">
        <v>1109</v>
      </c>
      <c r="B412" s="36" t="s">
        <v>61</v>
      </c>
      <c r="C412" s="28" t="n">
        <v>3</v>
      </c>
      <c r="D412" s="28" t="n">
        <v>1</v>
      </c>
      <c r="E412" s="28" t="n">
        <v>1</v>
      </c>
      <c r="F412" s="38" t="s">
        <v>1783</v>
      </c>
      <c r="G412" s="28" t="s">
        <v>1252</v>
      </c>
      <c r="H412" s="27" t="s">
        <v>856</v>
      </c>
      <c r="I412" s="27" t="s">
        <v>2841</v>
      </c>
      <c r="J412" s="31" t="s">
        <v>2842</v>
      </c>
      <c r="K412" s="31" t="s">
        <v>2843</v>
      </c>
    </row>
    <row r="413" customFormat="false" ht="39" hidden="false" customHeight="true" outlineLevel="0" collapsed="false">
      <c r="A413" s="28" t="s">
        <v>1109</v>
      </c>
      <c r="B413" s="36" t="s">
        <v>61</v>
      </c>
      <c r="C413" s="28" t="n">
        <v>3</v>
      </c>
      <c r="D413" s="28" t="n">
        <v>1</v>
      </c>
      <c r="E413" s="28" t="n">
        <v>2</v>
      </c>
      <c r="F413" s="38" t="s">
        <v>1787</v>
      </c>
      <c r="G413" s="28" t="s">
        <v>1252</v>
      </c>
      <c r="H413" s="27" t="s">
        <v>856</v>
      </c>
      <c r="I413" s="27" t="s">
        <v>2844</v>
      </c>
      <c r="J413" s="31" t="s">
        <v>2845</v>
      </c>
      <c r="K413" s="31" t="s">
        <v>2846</v>
      </c>
    </row>
    <row r="414" customFormat="false" ht="39" hidden="false" customHeight="true" outlineLevel="0" collapsed="false">
      <c r="A414" s="28" t="s">
        <v>1109</v>
      </c>
      <c r="B414" s="36" t="s">
        <v>61</v>
      </c>
      <c r="C414" s="28" t="n">
        <v>3</v>
      </c>
      <c r="D414" s="28" t="n">
        <v>1</v>
      </c>
      <c r="E414" s="28" t="n">
        <v>3</v>
      </c>
      <c r="F414" s="38" t="s">
        <v>1791</v>
      </c>
      <c r="G414" s="28" t="s">
        <v>1252</v>
      </c>
      <c r="H414" s="27" t="s">
        <v>856</v>
      </c>
      <c r="I414" s="27" t="s">
        <v>2847</v>
      </c>
      <c r="J414" s="31" t="s">
        <v>2848</v>
      </c>
      <c r="K414" s="31" t="s">
        <v>2849</v>
      </c>
    </row>
    <row r="415" customFormat="false" ht="39" hidden="false" customHeight="true" outlineLevel="0" collapsed="false">
      <c r="A415" s="28" t="s">
        <v>1109</v>
      </c>
      <c r="B415" s="36" t="s">
        <v>61</v>
      </c>
      <c r="C415" s="28" t="n">
        <v>3</v>
      </c>
      <c r="D415" s="28" t="n">
        <v>2</v>
      </c>
      <c r="E415" s="28" t="n">
        <v>1</v>
      </c>
      <c r="F415" s="38" t="s">
        <v>1795</v>
      </c>
      <c r="G415" s="28" t="s">
        <v>1257</v>
      </c>
      <c r="H415" s="27" t="s">
        <v>864</v>
      </c>
      <c r="I415" s="27" t="s">
        <v>2850</v>
      </c>
      <c r="J415" s="31" t="s">
        <v>2851</v>
      </c>
      <c r="K415" s="31" t="s">
        <v>2852</v>
      </c>
    </row>
    <row r="416" customFormat="false" ht="39" hidden="false" customHeight="true" outlineLevel="0" collapsed="false">
      <c r="A416" s="28" t="s">
        <v>1109</v>
      </c>
      <c r="B416" s="36" t="s">
        <v>61</v>
      </c>
      <c r="C416" s="28" t="n">
        <v>3</v>
      </c>
      <c r="D416" s="28" t="n">
        <v>2</v>
      </c>
      <c r="E416" s="28" t="n">
        <v>2</v>
      </c>
      <c r="F416" s="38" t="s">
        <v>1799</v>
      </c>
      <c r="G416" s="28" t="s">
        <v>1257</v>
      </c>
      <c r="H416" s="27" t="s">
        <v>864</v>
      </c>
      <c r="I416" s="27" t="s">
        <v>2853</v>
      </c>
      <c r="J416" s="31" t="s">
        <v>2854</v>
      </c>
      <c r="K416" s="31" t="s">
        <v>2855</v>
      </c>
    </row>
    <row r="417" customFormat="false" ht="39" hidden="false" customHeight="true" outlineLevel="0" collapsed="false">
      <c r="A417" s="28" t="s">
        <v>1109</v>
      </c>
      <c r="B417" s="36" t="s">
        <v>61</v>
      </c>
      <c r="C417" s="28" t="n">
        <v>3</v>
      </c>
      <c r="D417" s="28" t="n">
        <v>2</v>
      </c>
      <c r="E417" s="28" t="n">
        <v>3</v>
      </c>
      <c r="F417" s="38" t="s">
        <v>1803</v>
      </c>
      <c r="G417" s="28" t="s">
        <v>1257</v>
      </c>
      <c r="H417" s="27" t="s">
        <v>864</v>
      </c>
      <c r="I417" s="27" t="s">
        <v>2856</v>
      </c>
      <c r="J417" s="31" t="s">
        <v>2857</v>
      </c>
      <c r="K417" s="31" t="s">
        <v>2858</v>
      </c>
    </row>
    <row r="418" customFormat="false" ht="30" hidden="false" customHeight="true" outlineLevel="0" collapsed="false">
      <c r="A418" s="28" t="s">
        <v>1109</v>
      </c>
      <c r="B418" s="36" t="s">
        <v>61</v>
      </c>
      <c r="C418" s="28" t="n">
        <v>3</v>
      </c>
      <c r="D418" s="28" t="n">
        <v>3</v>
      </c>
      <c r="E418" s="28" t="n">
        <v>1</v>
      </c>
      <c r="F418" s="38" t="s">
        <v>1807</v>
      </c>
      <c r="G418" s="28" t="s">
        <v>1262</v>
      </c>
      <c r="H418" s="27" t="s">
        <v>870</v>
      </c>
      <c r="I418" s="27" t="s">
        <v>2859</v>
      </c>
      <c r="J418" s="31" t="s">
        <v>2860</v>
      </c>
      <c r="K418" s="31" t="s">
        <v>2861</v>
      </c>
    </row>
    <row r="419" customFormat="false" ht="103.5" hidden="false" customHeight="true" outlineLevel="0" collapsed="false">
      <c r="A419" s="28" t="s">
        <v>1109</v>
      </c>
      <c r="B419" s="36" t="s">
        <v>61</v>
      </c>
      <c r="C419" s="28" t="n">
        <v>3</v>
      </c>
      <c r="D419" s="28" t="n">
        <v>3</v>
      </c>
      <c r="E419" s="28" t="n">
        <v>2</v>
      </c>
      <c r="F419" s="38" t="s">
        <v>1811</v>
      </c>
      <c r="G419" s="28" t="s">
        <v>1262</v>
      </c>
      <c r="H419" s="27" t="s">
        <v>870</v>
      </c>
      <c r="I419" s="27" t="s">
        <v>2862</v>
      </c>
      <c r="J419" s="27" t="s">
        <v>2863</v>
      </c>
      <c r="K419" s="31" t="s">
        <v>2864</v>
      </c>
    </row>
    <row r="420" customFormat="false" ht="39" hidden="false" customHeight="true" outlineLevel="0" collapsed="false">
      <c r="A420" s="28" t="s">
        <v>1109</v>
      </c>
      <c r="B420" s="36" t="s">
        <v>61</v>
      </c>
      <c r="C420" s="28" t="n">
        <v>3</v>
      </c>
      <c r="D420" s="28" t="n">
        <v>3</v>
      </c>
      <c r="E420" s="28" t="n">
        <v>3</v>
      </c>
      <c r="F420" s="38" t="s">
        <v>2865</v>
      </c>
      <c r="G420" s="28" t="s">
        <v>1262</v>
      </c>
      <c r="H420" s="27" t="s">
        <v>870</v>
      </c>
      <c r="I420" s="27" t="s">
        <v>2866</v>
      </c>
      <c r="J420" s="31" t="s">
        <v>2015</v>
      </c>
      <c r="K420" s="31" t="s">
        <v>2015</v>
      </c>
    </row>
    <row r="421" customFormat="false" ht="39" hidden="false" customHeight="true" outlineLevel="0" collapsed="false">
      <c r="A421" s="28" t="s">
        <v>1109</v>
      </c>
      <c r="B421" s="36" t="s">
        <v>61</v>
      </c>
      <c r="C421" s="28" t="n">
        <v>3</v>
      </c>
      <c r="D421" s="28" t="n">
        <v>4</v>
      </c>
      <c r="E421" s="28" t="n">
        <v>1</v>
      </c>
      <c r="F421" s="38" t="s">
        <v>1815</v>
      </c>
      <c r="G421" s="28" t="s">
        <v>1268</v>
      </c>
      <c r="H421" s="27" t="s">
        <v>876</v>
      </c>
      <c r="I421" s="27" t="s">
        <v>2867</v>
      </c>
      <c r="J421" s="31" t="s">
        <v>2868</v>
      </c>
      <c r="K421" s="31" t="s">
        <v>2869</v>
      </c>
    </row>
    <row r="422" customFormat="false" ht="39" hidden="false" customHeight="true" outlineLevel="0" collapsed="false">
      <c r="A422" s="28" t="s">
        <v>1109</v>
      </c>
      <c r="B422" s="36" t="s">
        <v>61</v>
      </c>
      <c r="C422" s="28" t="n">
        <v>3</v>
      </c>
      <c r="D422" s="28" t="n">
        <v>4</v>
      </c>
      <c r="E422" s="28" t="n">
        <v>2</v>
      </c>
      <c r="F422" s="38" t="s">
        <v>1819</v>
      </c>
      <c r="G422" s="28" t="s">
        <v>1268</v>
      </c>
      <c r="H422" s="27" t="s">
        <v>876</v>
      </c>
      <c r="I422" s="27" t="s">
        <v>2870</v>
      </c>
      <c r="J422" s="27" t="s">
        <v>2871</v>
      </c>
      <c r="K422" s="31" t="s">
        <v>2872</v>
      </c>
    </row>
    <row r="423" customFormat="false" ht="39" hidden="false" customHeight="true" outlineLevel="0" collapsed="false">
      <c r="A423" s="28" t="s">
        <v>1109</v>
      </c>
      <c r="B423" s="36" t="s">
        <v>61</v>
      </c>
      <c r="C423" s="28" t="n">
        <v>3</v>
      </c>
      <c r="D423" s="28" t="n">
        <v>4</v>
      </c>
      <c r="E423" s="28" t="n">
        <v>3</v>
      </c>
      <c r="F423" s="38" t="s">
        <v>2873</v>
      </c>
      <c r="G423" s="28" t="s">
        <v>1268</v>
      </c>
      <c r="H423" s="27" t="s">
        <v>876</v>
      </c>
      <c r="I423" s="27" t="s">
        <v>2874</v>
      </c>
      <c r="J423" s="27" t="s">
        <v>2875</v>
      </c>
      <c r="K423" s="31" t="s">
        <v>2876</v>
      </c>
    </row>
    <row r="424" customFormat="false" ht="64.5" hidden="false" customHeight="true" outlineLevel="0" collapsed="false">
      <c r="A424" s="28" t="s">
        <v>1109</v>
      </c>
      <c r="B424" s="36" t="s">
        <v>61</v>
      </c>
      <c r="C424" s="28" t="n">
        <v>3</v>
      </c>
      <c r="D424" s="28" t="n">
        <v>5</v>
      </c>
      <c r="E424" s="28" t="n">
        <v>1</v>
      </c>
      <c r="F424" s="38" t="s">
        <v>1823</v>
      </c>
      <c r="G424" s="28" t="s">
        <v>1273</v>
      </c>
      <c r="H424" s="27" t="s">
        <v>372</v>
      </c>
      <c r="I424" s="27" t="s">
        <v>2877</v>
      </c>
      <c r="J424" s="27" t="s">
        <v>2878</v>
      </c>
      <c r="K424" s="31" t="s">
        <v>2879</v>
      </c>
    </row>
    <row r="425" customFormat="false" ht="78" hidden="false" customHeight="true" outlineLevel="0" collapsed="false">
      <c r="A425" s="28" t="s">
        <v>1109</v>
      </c>
      <c r="B425" s="36" t="s">
        <v>61</v>
      </c>
      <c r="C425" s="28" t="n">
        <v>3</v>
      </c>
      <c r="D425" s="28" t="n">
        <v>5</v>
      </c>
      <c r="E425" s="28" t="n">
        <v>2</v>
      </c>
      <c r="F425" s="38" t="s">
        <v>1827</v>
      </c>
      <c r="G425" s="28" t="s">
        <v>1273</v>
      </c>
      <c r="H425" s="27" t="s">
        <v>372</v>
      </c>
      <c r="I425" s="27" t="s">
        <v>2880</v>
      </c>
      <c r="J425" s="27" t="s">
        <v>2881</v>
      </c>
      <c r="K425" s="27" t="s">
        <v>2882</v>
      </c>
    </row>
    <row r="426" customFormat="false" ht="51.75" hidden="false" customHeight="true" outlineLevel="0" collapsed="false">
      <c r="A426" s="28" t="s">
        <v>1109</v>
      </c>
      <c r="B426" s="36" t="s">
        <v>61</v>
      </c>
      <c r="C426" s="28" t="n">
        <v>4</v>
      </c>
      <c r="D426" s="28" t="n">
        <v>1</v>
      </c>
      <c r="E426" s="28" t="n">
        <v>1</v>
      </c>
      <c r="F426" s="38" t="s">
        <v>1835</v>
      </c>
      <c r="G426" s="28" t="s">
        <v>1278</v>
      </c>
      <c r="H426" s="27" t="s">
        <v>1281</v>
      </c>
      <c r="I426" s="27" t="s">
        <v>2883</v>
      </c>
      <c r="J426" s="27" t="s">
        <v>2884</v>
      </c>
      <c r="K426" s="31" t="s">
        <v>2885</v>
      </c>
    </row>
    <row r="427" customFormat="false" ht="51.75" hidden="false" customHeight="true" outlineLevel="0" collapsed="false">
      <c r="A427" s="28" t="s">
        <v>1109</v>
      </c>
      <c r="B427" s="36" t="s">
        <v>61</v>
      </c>
      <c r="C427" s="28" t="n">
        <v>4</v>
      </c>
      <c r="D427" s="28" t="n">
        <v>1</v>
      </c>
      <c r="E427" s="28" t="n">
        <v>2</v>
      </c>
      <c r="F427" s="38" t="s">
        <v>1839</v>
      </c>
      <c r="G427" s="28" t="s">
        <v>1278</v>
      </c>
      <c r="H427" s="27" t="s">
        <v>1281</v>
      </c>
      <c r="I427" s="27" t="s">
        <v>2886</v>
      </c>
      <c r="J427" s="27" t="s">
        <v>2887</v>
      </c>
      <c r="K427" s="31" t="s">
        <v>2888</v>
      </c>
    </row>
    <row r="428" customFormat="false" ht="78" hidden="false" customHeight="true" outlineLevel="0" collapsed="false">
      <c r="A428" s="28" t="s">
        <v>1109</v>
      </c>
      <c r="B428" s="36" t="s">
        <v>61</v>
      </c>
      <c r="C428" s="28" t="n">
        <v>4</v>
      </c>
      <c r="D428" s="28" t="n">
        <v>2</v>
      </c>
      <c r="E428" s="28" t="n">
        <v>1</v>
      </c>
      <c r="F428" s="38" t="s">
        <v>1843</v>
      </c>
      <c r="G428" s="28" t="s">
        <v>1285</v>
      </c>
      <c r="H428" s="27" t="s">
        <v>1288</v>
      </c>
      <c r="I428" s="27" t="s">
        <v>2889</v>
      </c>
      <c r="J428" s="27" t="s">
        <v>2890</v>
      </c>
      <c r="K428" s="31" t="s">
        <v>2891</v>
      </c>
    </row>
    <row r="429" customFormat="false" ht="78" hidden="false" customHeight="true" outlineLevel="0" collapsed="false">
      <c r="A429" s="28" t="s">
        <v>1109</v>
      </c>
      <c r="B429" s="36" t="s">
        <v>61</v>
      </c>
      <c r="C429" s="28" t="n">
        <v>4</v>
      </c>
      <c r="D429" s="28" t="n">
        <v>2</v>
      </c>
      <c r="E429" s="28" t="n">
        <v>2</v>
      </c>
      <c r="F429" s="38" t="s">
        <v>1847</v>
      </c>
      <c r="G429" s="28" t="s">
        <v>1285</v>
      </c>
      <c r="H429" s="27" t="s">
        <v>1288</v>
      </c>
      <c r="I429" s="27" t="s">
        <v>2892</v>
      </c>
      <c r="J429" s="27" t="s">
        <v>2893</v>
      </c>
      <c r="K429" s="31" t="s">
        <v>2894</v>
      </c>
    </row>
    <row r="430" customFormat="false" ht="64.5" hidden="false" customHeight="true" outlineLevel="0" collapsed="false">
      <c r="A430" s="28" t="s">
        <v>1109</v>
      </c>
      <c r="B430" s="36" t="s">
        <v>61</v>
      </c>
      <c r="C430" s="28" t="n">
        <v>4</v>
      </c>
      <c r="D430" s="28" t="n">
        <v>3</v>
      </c>
      <c r="E430" s="28" t="n">
        <v>1</v>
      </c>
      <c r="F430" s="38" t="s">
        <v>1296</v>
      </c>
      <c r="G430" s="28" t="s">
        <v>1292</v>
      </c>
      <c r="H430" s="27" t="s">
        <v>1295</v>
      </c>
      <c r="I430" s="27" t="s">
        <v>2895</v>
      </c>
      <c r="J430" s="27" t="s">
        <v>2896</v>
      </c>
      <c r="K430" s="27" t="s">
        <v>2897</v>
      </c>
    </row>
    <row r="431" customFormat="false" ht="64.5" hidden="false" customHeight="true" outlineLevel="0" collapsed="false">
      <c r="A431" s="28" t="s">
        <v>1109</v>
      </c>
      <c r="B431" s="36" t="s">
        <v>61</v>
      </c>
      <c r="C431" s="28" t="n">
        <v>4</v>
      </c>
      <c r="D431" s="28" t="n">
        <v>4</v>
      </c>
      <c r="E431" s="28" t="n">
        <v>1</v>
      </c>
      <c r="F431" s="38" t="s">
        <v>1866</v>
      </c>
      <c r="G431" s="28" t="s">
        <v>1299</v>
      </c>
      <c r="H431" s="27" t="s">
        <v>1302</v>
      </c>
      <c r="I431" s="27" t="s">
        <v>2898</v>
      </c>
      <c r="J431" s="27" t="s">
        <v>2899</v>
      </c>
      <c r="K431" s="31" t="s">
        <v>2900</v>
      </c>
    </row>
    <row r="432" customFormat="false" ht="51.75" hidden="false" customHeight="true" outlineLevel="0" collapsed="false">
      <c r="A432" s="28" t="s">
        <v>1109</v>
      </c>
      <c r="B432" s="36" t="s">
        <v>61</v>
      </c>
      <c r="C432" s="28" t="n">
        <v>4</v>
      </c>
      <c r="D432" s="28" t="n">
        <v>4</v>
      </c>
      <c r="E432" s="28" t="n">
        <v>2</v>
      </c>
      <c r="F432" s="38" t="s">
        <v>1870</v>
      </c>
      <c r="G432" s="28" t="s">
        <v>1299</v>
      </c>
      <c r="H432" s="27" t="s">
        <v>1302</v>
      </c>
      <c r="I432" s="27" t="s">
        <v>2901</v>
      </c>
      <c r="J432" s="27" t="s">
        <v>2902</v>
      </c>
      <c r="K432" s="31" t="s">
        <v>2903</v>
      </c>
    </row>
    <row r="433" customFormat="false" ht="90.75" hidden="false" customHeight="true" outlineLevel="0" collapsed="false">
      <c r="A433" s="28" t="s">
        <v>1109</v>
      </c>
      <c r="B433" s="36" t="s">
        <v>61</v>
      </c>
      <c r="C433" s="28" t="n">
        <v>4</v>
      </c>
      <c r="D433" s="28" t="n">
        <v>4</v>
      </c>
      <c r="E433" s="28" t="n">
        <v>3</v>
      </c>
      <c r="F433" s="38" t="s">
        <v>1874</v>
      </c>
      <c r="G433" s="28" t="s">
        <v>1299</v>
      </c>
      <c r="H433" s="27" t="s">
        <v>1302</v>
      </c>
      <c r="I433" s="27" t="s">
        <v>2904</v>
      </c>
      <c r="J433" s="27" t="s">
        <v>2905</v>
      </c>
      <c r="K433" s="31" t="s">
        <v>2906</v>
      </c>
    </row>
    <row r="434" customFormat="false" ht="39" hidden="false" customHeight="true" outlineLevel="0" collapsed="false">
      <c r="A434" s="28" t="s">
        <v>1109</v>
      </c>
      <c r="B434" s="36" t="s">
        <v>61</v>
      </c>
      <c r="C434" s="28" t="n">
        <v>4</v>
      </c>
      <c r="D434" s="28" t="n">
        <v>5</v>
      </c>
      <c r="E434" s="28" t="n">
        <v>1</v>
      </c>
      <c r="F434" s="38" t="s">
        <v>1878</v>
      </c>
      <c r="G434" s="28" t="s">
        <v>1305</v>
      </c>
      <c r="H434" s="27" t="s">
        <v>1308</v>
      </c>
      <c r="I434" s="27" t="s">
        <v>2907</v>
      </c>
      <c r="J434" s="27" t="s">
        <v>2908</v>
      </c>
      <c r="K434" s="27" t="s">
        <v>2909</v>
      </c>
    </row>
    <row r="435" customFormat="false" ht="103.5" hidden="false" customHeight="true" outlineLevel="0" collapsed="false">
      <c r="A435" s="28" t="s">
        <v>1109</v>
      </c>
      <c r="B435" s="36" t="s">
        <v>61</v>
      </c>
      <c r="C435" s="28" t="n">
        <v>4</v>
      </c>
      <c r="D435" s="28" t="n">
        <v>5</v>
      </c>
      <c r="E435" s="28" t="n">
        <v>2</v>
      </c>
      <c r="F435" s="38" t="s">
        <v>1882</v>
      </c>
      <c r="G435" s="28" t="s">
        <v>1305</v>
      </c>
      <c r="H435" s="27" t="s">
        <v>1308</v>
      </c>
      <c r="I435" s="27" t="s">
        <v>2910</v>
      </c>
      <c r="J435" s="27" t="s">
        <v>2911</v>
      </c>
      <c r="K435" s="27" t="s">
        <v>2912</v>
      </c>
    </row>
    <row r="436" customFormat="false" ht="64.5" hidden="false" customHeight="true" outlineLevel="0" collapsed="false">
      <c r="A436" s="28" t="s">
        <v>1109</v>
      </c>
      <c r="B436" s="36" t="s">
        <v>61</v>
      </c>
      <c r="C436" s="28" t="n">
        <v>4</v>
      </c>
      <c r="D436" s="28" t="n">
        <v>5</v>
      </c>
      <c r="E436" s="28" t="n">
        <v>3</v>
      </c>
      <c r="F436" s="38" t="s">
        <v>1886</v>
      </c>
      <c r="G436" s="28" t="s">
        <v>1305</v>
      </c>
      <c r="H436" s="27" t="s">
        <v>1308</v>
      </c>
      <c r="I436" s="27" t="s">
        <v>2913</v>
      </c>
      <c r="J436" s="27" t="s">
        <v>2914</v>
      </c>
      <c r="K436" s="31" t="s">
        <v>2915</v>
      </c>
    </row>
    <row r="437" customFormat="false" ht="30" hidden="false" customHeight="true" outlineLevel="0" collapsed="false">
      <c r="A437" s="28" t="s">
        <v>1109</v>
      </c>
      <c r="B437" s="37" t="s">
        <v>62</v>
      </c>
      <c r="C437" s="28" t="n">
        <v>1</v>
      </c>
      <c r="D437" s="28" t="n">
        <v>1</v>
      </c>
      <c r="E437" s="28" t="n">
        <v>1</v>
      </c>
      <c r="F437" s="38" t="s">
        <v>1890</v>
      </c>
      <c r="G437" s="28" t="s">
        <v>1313</v>
      </c>
      <c r="H437" s="27" t="s">
        <v>424</v>
      </c>
      <c r="I437" s="27" t="s">
        <v>2916</v>
      </c>
      <c r="J437" s="27" t="s">
        <v>2917</v>
      </c>
      <c r="K437" s="31" t="s">
        <v>2918</v>
      </c>
    </row>
    <row r="438" customFormat="false" ht="30" hidden="false" customHeight="true" outlineLevel="0" collapsed="false">
      <c r="A438" s="28" t="s">
        <v>1109</v>
      </c>
      <c r="B438" s="37" t="s">
        <v>62</v>
      </c>
      <c r="C438" s="28" t="n">
        <v>1</v>
      </c>
      <c r="D438" s="28" t="n">
        <v>1</v>
      </c>
      <c r="E438" s="28" t="n">
        <v>2</v>
      </c>
      <c r="F438" s="38" t="s">
        <v>1894</v>
      </c>
      <c r="G438" s="28" t="s">
        <v>1313</v>
      </c>
      <c r="H438" s="27" t="s">
        <v>424</v>
      </c>
      <c r="I438" s="27" t="s">
        <v>2919</v>
      </c>
      <c r="J438" s="27" t="s">
        <v>2920</v>
      </c>
      <c r="K438" s="31" t="s">
        <v>2921</v>
      </c>
    </row>
    <row r="439" customFormat="false" ht="39" hidden="false" customHeight="true" outlineLevel="0" collapsed="false">
      <c r="A439" s="28" t="s">
        <v>1109</v>
      </c>
      <c r="B439" s="37" t="s">
        <v>62</v>
      </c>
      <c r="C439" s="28" t="n">
        <v>1</v>
      </c>
      <c r="D439" s="28" t="n">
        <v>1</v>
      </c>
      <c r="E439" s="28" t="n">
        <v>3</v>
      </c>
      <c r="F439" s="38" t="s">
        <v>1898</v>
      </c>
      <c r="G439" s="28" t="s">
        <v>1313</v>
      </c>
      <c r="H439" s="27" t="s">
        <v>424</v>
      </c>
      <c r="I439" s="27" t="s">
        <v>2922</v>
      </c>
      <c r="J439" s="27" t="s">
        <v>2923</v>
      </c>
      <c r="K439" s="31" t="s">
        <v>2924</v>
      </c>
    </row>
    <row r="440" customFormat="false" ht="30" hidden="false" customHeight="true" outlineLevel="0" collapsed="false">
      <c r="A440" s="28" t="s">
        <v>1109</v>
      </c>
      <c r="B440" s="37" t="s">
        <v>62</v>
      </c>
      <c r="C440" s="28" t="n">
        <v>1</v>
      </c>
      <c r="D440" s="28" t="n">
        <v>2</v>
      </c>
      <c r="E440" s="28" t="n">
        <v>1</v>
      </c>
      <c r="F440" s="38" t="s">
        <v>1902</v>
      </c>
      <c r="G440" s="28" t="s">
        <v>1317</v>
      </c>
      <c r="H440" s="27" t="s">
        <v>927</v>
      </c>
      <c r="I440" s="27" t="s">
        <v>2925</v>
      </c>
      <c r="J440" s="27" t="s">
        <v>2926</v>
      </c>
      <c r="K440" s="27" t="s">
        <v>2927</v>
      </c>
    </row>
    <row r="441" customFormat="false" ht="30" hidden="false" customHeight="true" outlineLevel="0" collapsed="false">
      <c r="A441" s="28" t="s">
        <v>1109</v>
      </c>
      <c r="B441" s="37" t="s">
        <v>62</v>
      </c>
      <c r="C441" s="28" t="n">
        <v>1</v>
      </c>
      <c r="D441" s="28" t="n">
        <v>2</v>
      </c>
      <c r="E441" s="28" t="n">
        <v>2</v>
      </c>
      <c r="F441" s="38" t="s">
        <v>1906</v>
      </c>
      <c r="G441" s="28" t="s">
        <v>1317</v>
      </c>
      <c r="H441" s="27" t="s">
        <v>927</v>
      </c>
      <c r="I441" s="27" t="s">
        <v>2928</v>
      </c>
      <c r="J441" s="27" t="s">
        <v>2929</v>
      </c>
      <c r="K441" s="27" t="s">
        <v>2930</v>
      </c>
    </row>
    <row r="442" customFormat="false" ht="30" hidden="false" customHeight="true" outlineLevel="0" collapsed="false">
      <c r="A442" s="28" t="s">
        <v>1109</v>
      </c>
      <c r="B442" s="37" t="s">
        <v>62</v>
      </c>
      <c r="C442" s="28" t="n">
        <v>1</v>
      </c>
      <c r="D442" s="28" t="n">
        <v>2</v>
      </c>
      <c r="E442" s="28" t="n">
        <v>3</v>
      </c>
      <c r="F442" s="38" t="s">
        <v>2931</v>
      </c>
      <c r="G442" s="28" t="s">
        <v>1317</v>
      </c>
      <c r="H442" s="27" t="s">
        <v>927</v>
      </c>
      <c r="I442" s="27" t="s">
        <v>2932</v>
      </c>
      <c r="J442" s="27" t="s">
        <v>2933</v>
      </c>
      <c r="K442" s="27" t="s">
        <v>2934</v>
      </c>
    </row>
    <row r="443" customFormat="false" ht="30" hidden="false" customHeight="true" outlineLevel="0" collapsed="false">
      <c r="A443" s="28" t="s">
        <v>1109</v>
      </c>
      <c r="B443" s="37" t="s">
        <v>62</v>
      </c>
      <c r="C443" s="28" t="n">
        <v>1</v>
      </c>
      <c r="D443" s="28" t="n">
        <v>3</v>
      </c>
      <c r="E443" s="28" t="n">
        <v>1</v>
      </c>
      <c r="F443" s="38" t="s">
        <v>1910</v>
      </c>
      <c r="G443" s="28" t="s">
        <v>1323</v>
      </c>
      <c r="H443" s="27" t="s">
        <v>1326</v>
      </c>
      <c r="I443" s="27" t="s">
        <v>2935</v>
      </c>
      <c r="J443" s="27" t="s">
        <v>2936</v>
      </c>
      <c r="K443" s="27" t="s">
        <v>2937</v>
      </c>
    </row>
    <row r="444" customFormat="false" ht="30" hidden="false" customHeight="true" outlineLevel="0" collapsed="false">
      <c r="A444" s="28" t="s">
        <v>1109</v>
      </c>
      <c r="B444" s="37" t="s">
        <v>62</v>
      </c>
      <c r="C444" s="28" t="n">
        <v>1</v>
      </c>
      <c r="D444" s="28" t="n">
        <v>3</v>
      </c>
      <c r="E444" s="28" t="n">
        <v>2</v>
      </c>
      <c r="F444" s="38" t="s">
        <v>1914</v>
      </c>
      <c r="G444" s="28" t="s">
        <v>1323</v>
      </c>
      <c r="H444" s="27" t="s">
        <v>1326</v>
      </c>
      <c r="I444" s="27" t="s">
        <v>2938</v>
      </c>
      <c r="J444" s="27" t="s">
        <v>2939</v>
      </c>
      <c r="K444" s="31" t="s">
        <v>2940</v>
      </c>
    </row>
    <row r="445" customFormat="false" ht="30" hidden="false" customHeight="true" outlineLevel="0" collapsed="false">
      <c r="A445" s="28" t="s">
        <v>1109</v>
      </c>
      <c r="B445" s="37" t="s">
        <v>62</v>
      </c>
      <c r="C445" s="28" t="n">
        <v>1</v>
      </c>
      <c r="D445" s="28" t="n">
        <v>3</v>
      </c>
      <c r="E445" s="28" t="n">
        <v>3</v>
      </c>
      <c r="F445" s="38" t="s">
        <v>1918</v>
      </c>
      <c r="G445" s="28" t="s">
        <v>1323</v>
      </c>
      <c r="H445" s="27" t="s">
        <v>1326</v>
      </c>
      <c r="I445" s="27" t="s">
        <v>2941</v>
      </c>
      <c r="J445" s="27" t="s">
        <v>2942</v>
      </c>
      <c r="K445" s="27" t="s">
        <v>2943</v>
      </c>
    </row>
    <row r="446" customFormat="false" ht="39" hidden="false" customHeight="true" outlineLevel="0" collapsed="false">
      <c r="A446" s="28" t="s">
        <v>1109</v>
      </c>
      <c r="B446" s="37" t="s">
        <v>62</v>
      </c>
      <c r="C446" s="28" t="n">
        <v>1</v>
      </c>
      <c r="D446" s="28" t="n">
        <v>4</v>
      </c>
      <c r="E446" s="28" t="n">
        <v>1</v>
      </c>
      <c r="F446" s="38" t="s">
        <v>1922</v>
      </c>
      <c r="G446" s="28" t="s">
        <v>1330</v>
      </c>
      <c r="H446" s="27" t="s">
        <v>934</v>
      </c>
      <c r="I446" s="27" t="s">
        <v>2944</v>
      </c>
      <c r="J446" s="27" t="s">
        <v>2945</v>
      </c>
      <c r="K446" s="27" t="s">
        <v>2946</v>
      </c>
    </row>
    <row r="447" customFormat="false" ht="30" hidden="false" customHeight="true" outlineLevel="0" collapsed="false">
      <c r="A447" s="28" t="s">
        <v>1109</v>
      </c>
      <c r="B447" s="37" t="s">
        <v>62</v>
      </c>
      <c r="C447" s="28" t="n">
        <v>1</v>
      </c>
      <c r="D447" s="28" t="n">
        <v>4</v>
      </c>
      <c r="E447" s="28" t="n">
        <v>2</v>
      </c>
      <c r="F447" s="38" t="s">
        <v>1926</v>
      </c>
      <c r="G447" s="28" t="s">
        <v>1330</v>
      </c>
      <c r="H447" s="27" t="s">
        <v>934</v>
      </c>
      <c r="I447" s="27" t="s">
        <v>2947</v>
      </c>
      <c r="J447" s="27" t="s">
        <v>2948</v>
      </c>
      <c r="K447" s="27" t="s">
        <v>2949</v>
      </c>
    </row>
    <row r="448" customFormat="false" ht="30" hidden="false" customHeight="true" outlineLevel="0" collapsed="false">
      <c r="A448" s="28" t="s">
        <v>1109</v>
      </c>
      <c r="B448" s="37" t="s">
        <v>62</v>
      </c>
      <c r="C448" s="28" t="n">
        <v>2</v>
      </c>
      <c r="D448" s="28" t="n">
        <v>1</v>
      </c>
      <c r="E448" s="28" t="n">
        <v>1</v>
      </c>
      <c r="F448" s="38" t="s">
        <v>938</v>
      </c>
      <c r="G448" s="28" t="s">
        <v>1335</v>
      </c>
      <c r="H448" s="27" t="s">
        <v>461</v>
      </c>
      <c r="I448" s="27" t="s">
        <v>2950</v>
      </c>
      <c r="J448" s="27" t="s">
        <v>2951</v>
      </c>
      <c r="K448" s="27" t="s">
        <v>2952</v>
      </c>
    </row>
    <row r="449" customFormat="false" ht="39" hidden="false" customHeight="true" outlineLevel="0" collapsed="false">
      <c r="A449" s="28" t="s">
        <v>1109</v>
      </c>
      <c r="B449" s="37" t="s">
        <v>62</v>
      </c>
      <c r="C449" s="28" t="n">
        <v>2</v>
      </c>
      <c r="D449" s="28" t="n">
        <v>1</v>
      </c>
      <c r="E449" s="28" t="n">
        <v>2</v>
      </c>
      <c r="F449" s="38" t="s">
        <v>1937</v>
      </c>
      <c r="G449" s="28" t="s">
        <v>1335</v>
      </c>
      <c r="H449" s="27" t="s">
        <v>461</v>
      </c>
      <c r="I449" s="27" t="s">
        <v>2953</v>
      </c>
      <c r="J449" s="27" t="s">
        <v>2954</v>
      </c>
      <c r="K449" s="27" t="s">
        <v>2955</v>
      </c>
    </row>
    <row r="450" customFormat="false" ht="30" hidden="false" customHeight="true" outlineLevel="0" collapsed="false">
      <c r="A450" s="28" t="s">
        <v>1109</v>
      </c>
      <c r="B450" s="37" t="s">
        <v>62</v>
      </c>
      <c r="C450" s="28" t="n">
        <v>2</v>
      </c>
      <c r="D450" s="28" t="n">
        <v>1</v>
      </c>
      <c r="E450" s="28" t="n">
        <v>3</v>
      </c>
      <c r="F450" s="38" t="s">
        <v>2956</v>
      </c>
      <c r="G450" s="28" t="s">
        <v>1335</v>
      </c>
      <c r="H450" s="27" t="s">
        <v>461</v>
      </c>
      <c r="I450" s="27" t="s">
        <v>2957</v>
      </c>
      <c r="J450" s="27" t="s">
        <v>2958</v>
      </c>
      <c r="K450" s="27" t="s">
        <v>2959</v>
      </c>
    </row>
    <row r="451" customFormat="false" ht="39" hidden="false" customHeight="true" outlineLevel="0" collapsed="false">
      <c r="A451" s="28" t="s">
        <v>1109</v>
      </c>
      <c r="B451" s="37" t="s">
        <v>62</v>
      </c>
      <c r="C451" s="28" t="n">
        <v>2</v>
      </c>
      <c r="D451" s="28" t="n">
        <v>2</v>
      </c>
      <c r="E451" s="28" t="n">
        <v>1</v>
      </c>
      <c r="F451" s="38" t="s">
        <v>1941</v>
      </c>
      <c r="G451" s="28" t="s">
        <v>1341</v>
      </c>
      <c r="H451" s="27" t="s">
        <v>945</v>
      </c>
      <c r="I451" s="27" t="s">
        <v>2960</v>
      </c>
      <c r="J451" s="27" t="s">
        <v>2961</v>
      </c>
      <c r="K451" s="27" t="s">
        <v>2962</v>
      </c>
    </row>
    <row r="452" customFormat="false" ht="51.75" hidden="false" customHeight="true" outlineLevel="0" collapsed="false">
      <c r="A452" s="28" t="s">
        <v>1109</v>
      </c>
      <c r="B452" s="37" t="s">
        <v>62</v>
      </c>
      <c r="C452" s="28" t="n">
        <v>2</v>
      </c>
      <c r="D452" s="28" t="n">
        <v>2</v>
      </c>
      <c r="E452" s="28" t="n">
        <v>2</v>
      </c>
      <c r="F452" s="38" t="s">
        <v>1945</v>
      </c>
      <c r="G452" s="28" t="s">
        <v>1341</v>
      </c>
      <c r="H452" s="27" t="s">
        <v>945</v>
      </c>
      <c r="I452" s="27" t="s">
        <v>2963</v>
      </c>
      <c r="J452" s="27" t="s">
        <v>2964</v>
      </c>
      <c r="K452" s="27" t="s">
        <v>2965</v>
      </c>
    </row>
    <row r="453" customFormat="false" ht="39" hidden="false" customHeight="true" outlineLevel="0" collapsed="false">
      <c r="A453" s="28" t="s">
        <v>1109</v>
      </c>
      <c r="B453" s="37" t="s">
        <v>62</v>
      </c>
      <c r="C453" s="28" t="n">
        <v>2</v>
      </c>
      <c r="D453" s="28" t="n">
        <v>2</v>
      </c>
      <c r="E453" s="28" t="n">
        <v>3</v>
      </c>
      <c r="F453" s="38" t="s">
        <v>2966</v>
      </c>
      <c r="G453" s="28" t="s">
        <v>1341</v>
      </c>
      <c r="H453" s="27" t="s">
        <v>945</v>
      </c>
      <c r="I453" s="27" t="s">
        <v>2967</v>
      </c>
      <c r="J453" s="27" t="s">
        <v>2968</v>
      </c>
      <c r="K453" s="27" t="s">
        <v>2969</v>
      </c>
    </row>
    <row r="454" customFormat="false" ht="30" hidden="false" customHeight="true" outlineLevel="0" collapsed="false">
      <c r="A454" s="28" t="s">
        <v>1109</v>
      </c>
      <c r="B454" s="37" t="s">
        <v>62</v>
      </c>
      <c r="C454" s="28" t="n">
        <v>2</v>
      </c>
      <c r="D454" s="28" t="n">
        <v>3</v>
      </c>
      <c r="E454" s="28" t="n">
        <v>1</v>
      </c>
      <c r="F454" s="38" t="s">
        <v>1949</v>
      </c>
      <c r="G454" s="28" t="s">
        <v>1347</v>
      </c>
      <c r="H454" s="27" t="s">
        <v>1350</v>
      </c>
      <c r="I454" s="27" t="s">
        <v>2970</v>
      </c>
      <c r="J454" s="27" t="s">
        <v>2971</v>
      </c>
      <c r="K454" s="27" t="s">
        <v>2972</v>
      </c>
    </row>
    <row r="455" customFormat="false" ht="51.75" hidden="false" customHeight="true" outlineLevel="0" collapsed="false">
      <c r="A455" s="28" t="s">
        <v>1109</v>
      </c>
      <c r="B455" s="37" t="s">
        <v>62</v>
      </c>
      <c r="C455" s="28" t="n">
        <v>2</v>
      </c>
      <c r="D455" s="28" t="n">
        <v>3</v>
      </c>
      <c r="E455" s="28" t="n">
        <v>2</v>
      </c>
      <c r="F455" s="38" t="s">
        <v>1953</v>
      </c>
      <c r="G455" s="28" t="s">
        <v>1347</v>
      </c>
      <c r="H455" s="27" t="s">
        <v>1350</v>
      </c>
      <c r="I455" s="27" t="s">
        <v>2973</v>
      </c>
      <c r="J455" s="27" t="s">
        <v>2974</v>
      </c>
      <c r="K455" s="27" t="s">
        <v>2975</v>
      </c>
    </row>
    <row r="456" customFormat="false" ht="30" hidden="false" customHeight="true" outlineLevel="0" collapsed="false">
      <c r="A456" s="28" t="s">
        <v>1109</v>
      </c>
      <c r="B456" s="37" t="s">
        <v>62</v>
      </c>
      <c r="C456" s="28" t="n">
        <v>2</v>
      </c>
      <c r="D456" s="28" t="n">
        <v>4</v>
      </c>
      <c r="E456" s="28" t="n">
        <v>1</v>
      </c>
      <c r="F456" s="38" t="s">
        <v>1957</v>
      </c>
      <c r="G456" s="28" t="s">
        <v>1354</v>
      </c>
      <c r="H456" s="27" t="s">
        <v>959</v>
      </c>
      <c r="I456" s="27" t="s">
        <v>2976</v>
      </c>
      <c r="J456" s="27" t="s">
        <v>2977</v>
      </c>
      <c r="K456" s="27" t="s">
        <v>2978</v>
      </c>
    </row>
    <row r="457" customFormat="false" ht="30" hidden="false" customHeight="true" outlineLevel="0" collapsed="false">
      <c r="A457" s="28" t="s">
        <v>1109</v>
      </c>
      <c r="B457" s="37" t="s">
        <v>62</v>
      </c>
      <c r="C457" s="28" t="n">
        <v>2</v>
      </c>
      <c r="D457" s="28" t="n">
        <v>4</v>
      </c>
      <c r="E457" s="28" t="n">
        <v>2</v>
      </c>
      <c r="F457" s="38" t="s">
        <v>1961</v>
      </c>
      <c r="G457" s="28" t="s">
        <v>1354</v>
      </c>
      <c r="H457" s="27" t="s">
        <v>959</v>
      </c>
      <c r="I457" s="27" t="s">
        <v>2979</v>
      </c>
      <c r="J457" s="27" t="s">
        <v>2980</v>
      </c>
      <c r="K457" s="27" t="s">
        <v>2981</v>
      </c>
    </row>
    <row r="458" customFormat="false" ht="39" hidden="false" customHeight="true" outlineLevel="0" collapsed="false">
      <c r="A458" s="28" t="s">
        <v>1109</v>
      </c>
      <c r="B458" s="37" t="s">
        <v>62</v>
      </c>
      <c r="C458" s="28" t="n">
        <v>2</v>
      </c>
      <c r="D458" s="28" t="n">
        <v>4</v>
      </c>
      <c r="E458" s="28" t="n">
        <v>3</v>
      </c>
      <c r="F458" s="38" t="s">
        <v>2982</v>
      </c>
      <c r="G458" s="28" t="s">
        <v>1354</v>
      </c>
      <c r="H458" s="27" t="s">
        <v>959</v>
      </c>
      <c r="I458" s="27" t="s">
        <v>2983</v>
      </c>
      <c r="J458" s="27" t="s">
        <v>2984</v>
      </c>
      <c r="K458" s="27" t="s">
        <v>2985</v>
      </c>
    </row>
    <row r="459" customFormat="false" ht="30" hidden="false" customHeight="true" outlineLevel="0" collapsed="false">
      <c r="A459" s="28" t="s">
        <v>1109</v>
      </c>
      <c r="B459" s="37" t="s">
        <v>62</v>
      </c>
      <c r="C459" s="28" t="n">
        <v>2</v>
      </c>
      <c r="D459" s="28" t="n">
        <v>4</v>
      </c>
      <c r="E459" s="28" t="n">
        <v>4</v>
      </c>
      <c r="F459" s="38" t="s">
        <v>2986</v>
      </c>
      <c r="G459" s="28" t="s">
        <v>1354</v>
      </c>
      <c r="H459" s="27" t="s">
        <v>959</v>
      </c>
      <c r="I459" s="27" t="s">
        <v>2987</v>
      </c>
      <c r="J459" s="27" t="s">
        <v>2988</v>
      </c>
      <c r="K459" s="27" t="s">
        <v>2465</v>
      </c>
    </row>
    <row r="460" customFormat="false" ht="64.5" hidden="false" customHeight="true" outlineLevel="0" collapsed="false">
      <c r="A460" s="28" t="s">
        <v>1109</v>
      </c>
      <c r="B460" s="37" t="s">
        <v>62</v>
      </c>
      <c r="C460" s="28" t="n">
        <v>3</v>
      </c>
      <c r="D460" s="28" t="n">
        <v>1</v>
      </c>
      <c r="E460" s="28" t="n">
        <v>1</v>
      </c>
      <c r="F460" s="38" t="s">
        <v>1965</v>
      </c>
      <c r="G460" s="28" t="s">
        <v>1361</v>
      </c>
      <c r="H460" s="27" t="s">
        <v>1364</v>
      </c>
      <c r="I460" s="27" t="s">
        <v>2989</v>
      </c>
      <c r="J460" s="27" t="s">
        <v>2990</v>
      </c>
      <c r="K460" s="27" t="s">
        <v>2991</v>
      </c>
    </row>
    <row r="461" customFormat="false" ht="30" hidden="false" customHeight="true" outlineLevel="0" collapsed="false">
      <c r="A461" s="28" t="s">
        <v>1109</v>
      </c>
      <c r="B461" s="37" t="s">
        <v>62</v>
      </c>
      <c r="C461" s="28" t="n">
        <v>3</v>
      </c>
      <c r="D461" s="28" t="n">
        <v>1</v>
      </c>
      <c r="E461" s="28" t="n">
        <v>2</v>
      </c>
      <c r="F461" s="38" t="s">
        <v>1969</v>
      </c>
      <c r="G461" s="28" t="s">
        <v>1361</v>
      </c>
      <c r="H461" s="27" t="s">
        <v>1364</v>
      </c>
      <c r="I461" s="27" t="s">
        <v>2992</v>
      </c>
      <c r="J461" s="27" t="s">
        <v>2993</v>
      </c>
      <c r="K461" s="27" t="s">
        <v>2994</v>
      </c>
    </row>
    <row r="462" customFormat="false" ht="30" hidden="false" customHeight="true" outlineLevel="0" collapsed="false">
      <c r="A462" s="28" t="s">
        <v>1109</v>
      </c>
      <c r="B462" s="37" t="s">
        <v>62</v>
      </c>
      <c r="C462" s="28" t="n">
        <v>3</v>
      </c>
      <c r="D462" s="28" t="n">
        <v>2</v>
      </c>
      <c r="E462" s="28" t="n">
        <v>1</v>
      </c>
      <c r="F462" s="38" t="s">
        <v>1981</v>
      </c>
      <c r="G462" s="28" t="s">
        <v>1368</v>
      </c>
      <c r="H462" s="27" t="s">
        <v>1371</v>
      </c>
      <c r="I462" s="27" t="s">
        <v>2995</v>
      </c>
      <c r="J462" s="27" t="s">
        <v>2996</v>
      </c>
      <c r="K462" s="27" t="s">
        <v>2997</v>
      </c>
    </row>
    <row r="463" customFormat="false" ht="30" hidden="false" customHeight="true" outlineLevel="0" collapsed="false">
      <c r="A463" s="28" t="s">
        <v>1109</v>
      </c>
      <c r="B463" s="37" t="s">
        <v>62</v>
      </c>
      <c r="C463" s="28" t="n">
        <v>3</v>
      </c>
      <c r="D463" s="28" t="n">
        <v>2</v>
      </c>
      <c r="E463" s="28" t="n">
        <v>2</v>
      </c>
      <c r="F463" s="38" t="s">
        <v>1985</v>
      </c>
      <c r="G463" s="28" t="s">
        <v>1368</v>
      </c>
      <c r="H463" s="27" t="s">
        <v>1371</v>
      </c>
      <c r="I463" s="27" t="s">
        <v>2998</v>
      </c>
      <c r="J463" s="27" t="s">
        <v>2999</v>
      </c>
      <c r="K463" s="27" t="s">
        <v>3000</v>
      </c>
    </row>
    <row r="464" customFormat="false" ht="39" hidden="false" customHeight="true" outlineLevel="0" collapsed="false">
      <c r="A464" s="28" t="s">
        <v>1109</v>
      </c>
      <c r="B464" s="37" t="s">
        <v>62</v>
      </c>
      <c r="C464" s="28" t="n">
        <v>3</v>
      </c>
      <c r="D464" s="28" t="n">
        <v>3</v>
      </c>
      <c r="E464" s="28" t="n">
        <v>1</v>
      </c>
      <c r="F464" s="38" t="s">
        <v>1993</v>
      </c>
      <c r="G464" s="28" t="s">
        <v>1376</v>
      </c>
      <c r="H464" s="27" t="s">
        <v>980</v>
      </c>
      <c r="I464" s="27" t="s">
        <v>3001</v>
      </c>
      <c r="J464" s="27" t="s">
        <v>3002</v>
      </c>
      <c r="K464" s="27" t="s">
        <v>3003</v>
      </c>
    </row>
    <row r="465" customFormat="false" ht="30" hidden="false" customHeight="true" outlineLevel="0" collapsed="false">
      <c r="A465" s="28" t="s">
        <v>1109</v>
      </c>
      <c r="B465" s="37" t="s">
        <v>62</v>
      </c>
      <c r="C465" s="28" t="n">
        <v>3</v>
      </c>
      <c r="D465" s="28" t="n">
        <v>3</v>
      </c>
      <c r="E465" s="28" t="n">
        <v>2</v>
      </c>
      <c r="F465" s="38" t="s">
        <v>1997</v>
      </c>
      <c r="G465" s="28" t="s">
        <v>1376</v>
      </c>
      <c r="H465" s="27" t="s">
        <v>980</v>
      </c>
      <c r="I465" s="27" t="s">
        <v>3004</v>
      </c>
      <c r="J465" s="27" t="s">
        <v>3005</v>
      </c>
      <c r="K465" s="27" t="s">
        <v>3006</v>
      </c>
    </row>
    <row r="466" customFormat="false" ht="30" hidden="false" customHeight="true" outlineLevel="0" collapsed="false">
      <c r="A466" s="28" t="s">
        <v>1109</v>
      </c>
      <c r="B466" s="37" t="s">
        <v>62</v>
      </c>
      <c r="C466" s="28" t="n">
        <v>3</v>
      </c>
      <c r="D466" s="28" t="n">
        <v>4</v>
      </c>
      <c r="E466" s="28" t="n">
        <v>1</v>
      </c>
      <c r="F466" s="38" t="s">
        <v>2009</v>
      </c>
      <c r="G466" s="28" t="s">
        <v>1381</v>
      </c>
      <c r="H466" s="27" t="s">
        <v>1384</v>
      </c>
      <c r="I466" s="27" t="s">
        <v>3007</v>
      </c>
      <c r="J466" s="27" t="s">
        <v>3008</v>
      </c>
      <c r="K466" s="27" t="s">
        <v>3009</v>
      </c>
    </row>
    <row r="467" customFormat="false" ht="39" hidden="false" customHeight="true" outlineLevel="0" collapsed="false">
      <c r="A467" s="28" t="s">
        <v>1109</v>
      </c>
      <c r="B467" s="37" t="s">
        <v>62</v>
      </c>
      <c r="C467" s="28" t="n">
        <v>3</v>
      </c>
      <c r="D467" s="28" t="n">
        <v>4</v>
      </c>
      <c r="E467" s="28" t="n">
        <v>2</v>
      </c>
      <c r="F467" s="38" t="s">
        <v>2013</v>
      </c>
      <c r="G467" s="28" t="s">
        <v>1381</v>
      </c>
      <c r="H467" s="27" t="s">
        <v>1384</v>
      </c>
      <c r="I467" s="27" t="s">
        <v>3010</v>
      </c>
      <c r="J467" s="27" t="s">
        <v>3011</v>
      </c>
      <c r="K467" s="27" t="s">
        <v>3012</v>
      </c>
    </row>
    <row r="468" customFormat="false" ht="30" hidden="false" customHeight="true" outlineLevel="0" collapsed="false">
      <c r="A468" s="28" t="s">
        <v>1109</v>
      </c>
      <c r="B468" s="37" t="s">
        <v>62</v>
      </c>
      <c r="C468" s="28" t="n">
        <v>4</v>
      </c>
      <c r="D468" s="28" t="n">
        <v>1</v>
      </c>
      <c r="E468" s="28" t="n">
        <v>1</v>
      </c>
      <c r="F468" s="38" t="s">
        <v>2020</v>
      </c>
      <c r="G468" s="28" t="s">
        <v>1387</v>
      </c>
      <c r="H468" s="27" t="s">
        <v>1390</v>
      </c>
      <c r="I468" s="27" t="s">
        <v>3013</v>
      </c>
      <c r="J468" s="27" t="s">
        <v>3014</v>
      </c>
      <c r="K468" s="27" t="s">
        <v>3015</v>
      </c>
    </row>
    <row r="469" customFormat="false" ht="39" hidden="false" customHeight="true" outlineLevel="0" collapsed="false">
      <c r="A469" s="28" t="s">
        <v>1109</v>
      </c>
      <c r="B469" s="37" t="s">
        <v>62</v>
      </c>
      <c r="C469" s="28" t="n">
        <v>4</v>
      </c>
      <c r="D469" s="28" t="n">
        <v>1</v>
      </c>
      <c r="E469" s="28" t="n">
        <v>2</v>
      </c>
      <c r="F469" s="38" t="s">
        <v>2022</v>
      </c>
      <c r="G469" s="28" t="s">
        <v>1387</v>
      </c>
      <c r="H469" s="27" t="s">
        <v>1390</v>
      </c>
      <c r="I469" s="27" t="s">
        <v>3016</v>
      </c>
      <c r="J469" s="27" t="s">
        <v>3017</v>
      </c>
      <c r="K469" s="27" t="s">
        <v>3018</v>
      </c>
    </row>
    <row r="470" customFormat="false" ht="30" hidden="false" customHeight="true" outlineLevel="0" collapsed="false">
      <c r="A470" s="28" t="s">
        <v>1109</v>
      </c>
      <c r="B470" s="37" t="s">
        <v>62</v>
      </c>
      <c r="C470" s="28" t="n">
        <v>4</v>
      </c>
      <c r="D470" s="28" t="n">
        <v>1</v>
      </c>
      <c r="E470" s="28" t="n">
        <v>3</v>
      </c>
      <c r="F470" s="38" t="s">
        <v>2026</v>
      </c>
      <c r="G470" s="28" t="s">
        <v>1387</v>
      </c>
      <c r="H470" s="27" t="s">
        <v>1390</v>
      </c>
      <c r="I470" s="27" t="s">
        <v>3019</v>
      </c>
      <c r="J470" s="27" t="s">
        <v>3020</v>
      </c>
      <c r="K470" s="27" t="s">
        <v>3021</v>
      </c>
    </row>
    <row r="471" customFormat="false" ht="30" hidden="false" customHeight="true" outlineLevel="0" collapsed="false">
      <c r="A471" s="28" t="s">
        <v>1109</v>
      </c>
      <c r="B471" s="37" t="s">
        <v>62</v>
      </c>
      <c r="C471" s="28" t="n">
        <v>4</v>
      </c>
      <c r="D471" s="28" t="n">
        <v>2</v>
      </c>
      <c r="E471" s="28" t="n">
        <v>1</v>
      </c>
      <c r="F471" s="38" t="s">
        <v>2032</v>
      </c>
      <c r="G471" s="28" t="s">
        <v>1394</v>
      </c>
      <c r="H471" s="27" t="s">
        <v>1397</v>
      </c>
      <c r="I471" s="27" t="s">
        <v>3022</v>
      </c>
      <c r="J471" s="27" t="s">
        <v>3023</v>
      </c>
      <c r="K471" s="27" t="s">
        <v>3024</v>
      </c>
    </row>
    <row r="472" customFormat="false" ht="30" hidden="false" customHeight="true" outlineLevel="0" collapsed="false">
      <c r="A472" s="28" t="s">
        <v>1109</v>
      </c>
      <c r="B472" s="37" t="s">
        <v>62</v>
      </c>
      <c r="C472" s="28" t="n">
        <v>4</v>
      </c>
      <c r="D472" s="28" t="n">
        <v>2</v>
      </c>
      <c r="E472" s="28" t="n">
        <v>2</v>
      </c>
      <c r="F472" s="38" t="s">
        <v>2036</v>
      </c>
      <c r="G472" s="28" t="s">
        <v>1394</v>
      </c>
      <c r="H472" s="27" t="s">
        <v>1397</v>
      </c>
      <c r="I472" s="27" t="s">
        <v>3025</v>
      </c>
      <c r="J472" s="27" t="s">
        <v>3026</v>
      </c>
      <c r="K472" s="27" t="s">
        <v>3027</v>
      </c>
    </row>
    <row r="473" customFormat="false" ht="39" hidden="false" customHeight="true" outlineLevel="0" collapsed="false">
      <c r="A473" s="28" t="s">
        <v>1109</v>
      </c>
      <c r="B473" s="37" t="s">
        <v>62</v>
      </c>
      <c r="C473" s="28" t="n">
        <v>4</v>
      </c>
      <c r="D473" s="28" t="n">
        <v>2</v>
      </c>
      <c r="E473" s="28" t="n">
        <v>3</v>
      </c>
      <c r="F473" s="38" t="s">
        <v>2040</v>
      </c>
      <c r="G473" s="28" t="s">
        <v>1394</v>
      </c>
      <c r="H473" s="27" t="s">
        <v>1397</v>
      </c>
      <c r="I473" s="27" t="s">
        <v>3028</v>
      </c>
      <c r="J473" s="27" t="s">
        <v>3029</v>
      </c>
      <c r="K473" s="27" t="s">
        <v>3030</v>
      </c>
    </row>
    <row r="474" customFormat="false" ht="51.75" hidden="false" customHeight="true" outlineLevel="0" collapsed="false">
      <c r="A474" s="28" t="s">
        <v>1109</v>
      </c>
      <c r="B474" s="37" t="s">
        <v>62</v>
      </c>
      <c r="C474" s="28" t="n">
        <v>4</v>
      </c>
      <c r="D474" s="28" t="n">
        <v>3</v>
      </c>
      <c r="E474" s="28" t="n">
        <v>1</v>
      </c>
      <c r="F474" s="38" t="s">
        <v>2044</v>
      </c>
      <c r="G474" s="28" t="s">
        <v>1401</v>
      </c>
      <c r="H474" s="27" t="s">
        <v>1404</v>
      </c>
      <c r="I474" s="27" t="s">
        <v>3031</v>
      </c>
      <c r="J474" s="27" t="s">
        <v>3032</v>
      </c>
      <c r="K474" s="31" t="s">
        <v>3033</v>
      </c>
    </row>
    <row r="475" customFormat="false" ht="64.5" hidden="false" customHeight="true" outlineLevel="0" collapsed="false">
      <c r="A475" s="28" t="s">
        <v>1109</v>
      </c>
      <c r="B475" s="37" t="s">
        <v>62</v>
      </c>
      <c r="C475" s="28" t="n">
        <v>4</v>
      </c>
      <c r="D475" s="28" t="n">
        <v>3</v>
      </c>
      <c r="E475" s="28" t="n">
        <v>2</v>
      </c>
      <c r="F475" s="38" t="s">
        <v>2048</v>
      </c>
      <c r="G475" s="28" t="s">
        <v>1401</v>
      </c>
      <c r="H475" s="27" t="s">
        <v>1404</v>
      </c>
      <c r="I475" s="27" t="s">
        <v>3034</v>
      </c>
      <c r="J475" s="27" t="s">
        <v>3035</v>
      </c>
      <c r="K475" s="31" t="s">
        <v>3036</v>
      </c>
    </row>
    <row r="476" customFormat="false" ht="30" hidden="false" customHeight="true" outlineLevel="0" collapsed="false">
      <c r="A476" s="28" t="s">
        <v>1109</v>
      </c>
      <c r="B476" s="37" t="s">
        <v>62</v>
      </c>
      <c r="C476" s="28" t="n">
        <v>4</v>
      </c>
      <c r="D476" s="28" t="n">
        <v>4</v>
      </c>
      <c r="E476" s="28" t="n">
        <v>1</v>
      </c>
      <c r="F476" s="38" t="s">
        <v>2060</v>
      </c>
      <c r="G476" s="28" t="s">
        <v>1408</v>
      </c>
      <c r="H476" s="27" t="s">
        <v>1411</v>
      </c>
      <c r="I476" s="27" t="s">
        <v>3037</v>
      </c>
      <c r="J476" s="27" t="s">
        <v>3038</v>
      </c>
      <c r="K476" s="27" t="s">
        <v>3039</v>
      </c>
    </row>
    <row r="477" customFormat="false" ht="30" hidden="false" customHeight="true" outlineLevel="0" collapsed="false">
      <c r="A477" s="28" t="s">
        <v>1109</v>
      </c>
      <c r="B477" s="37" t="s">
        <v>62</v>
      </c>
      <c r="C477" s="28" t="n">
        <v>4</v>
      </c>
      <c r="D477" s="28" t="n">
        <v>4</v>
      </c>
      <c r="E477" s="28" t="n">
        <v>2</v>
      </c>
      <c r="F477" s="38" t="s">
        <v>2064</v>
      </c>
      <c r="G477" s="28" t="s">
        <v>1408</v>
      </c>
      <c r="H477" s="27" t="s">
        <v>1411</v>
      </c>
      <c r="I477" s="27" t="s">
        <v>3040</v>
      </c>
      <c r="J477" s="27" t="s">
        <v>3041</v>
      </c>
      <c r="K477" s="27" t="s">
        <v>3042</v>
      </c>
    </row>
    <row r="478" customFormat="false" ht="30" hidden="false" customHeight="true" outlineLevel="0" collapsed="false">
      <c r="A478" s="28" t="s">
        <v>1109</v>
      </c>
      <c r="B478" s="32" t="s">
        <v>63</v>
      </c>
      <c r="C478" s="28" t="n">
        <v>1</v>
      </c>
      <c r="D478" s="28" t="n">
        <v>1</v>
      </c>
      <c r="E478" s="28" t="n">
        <v>1</v>
      </c>
      <c r="F478" s="38" t="s">
        <v>2072</v>
      </c>
      <c r="G478" s="28" t="s">
        <v>1415</v>
      </c>
      <c r="H478" s="27" t="s">
        <v>570</v>
      </c>
      <c r="I478" s="27" t="s">
        <v>3043</v>
      </c>
      <c r="J478" s="27" t="s">
        <v>3044</v>
      </c>
      <c r="K478" s="27" t="s">
        <v>3045</v>
      </c>
    </row>
    <row r="479" customFormat="false" ht="30" hidden="false" customHeight="true" outlineLevel="0" collapsed="false">
      <c r="A479" s="28" t="s">
        <v>1109</v>
      </c>
      <c r="B479" s="32" t="s">
        <v>63</v>
      </c>
      <c r="C479" s="28" t="n">
        <v>1</v>
      </c>
      <c r="D479" s="28" t="n">
        <v>1</v>
      </c>
      <c r="E479" s="28" t="n">
        <v>2</v>
      </c>
      <c r="F479" s="38" t="s">
        <v>2076</v>
      </c>
      <c r="G479" s="28" t="s">
        <v>1415</v>
      </c>
      <c r="H479" s="27" t="s">
        <v>570</v>
      </c>
      <c r="I479" s="27" t="s">
        <v>3046</v>
      </c>
      <c r="J479" s="27" t="s">
        <v>3047</v>
      </c>
      <c r="K479" s="27" t="s">
        <v>3048</v>
      </c>
    </row>
    <row r="480" customFormat="false" ht="30" hidden="false" customHeight="true" outlineLevel="0" collapsed="false">
      <c r="A480" s="28" t="s">
        <v>1109</v>
      </c>
      <c r="B480" s="32" t="s">
        <v>63</v>
      </c>
      <c r="C480" s="28" t="n">
        <v>1</v>
      </c>
      <c r="D480" s="28" t="n">
        <v>1</v>
      </c>
      <c r="E480" s="28" t="n">
        <v>3</v>
      </c>
      <c r="F480" s="38" t="s">
        <v>2080</v>
      </c>
      <c r="G480" s="28" t="s">
        <v>1415</v>
      </c>
      <c r="H480" s="27" t="s">
        <v>570</v>
      </c>
      <c r="I480" s="27" t="s">
        <v>3049</v>
      </c>
      <c r="J480" s="27" t="s">
        <v>3050</v>
      </c>
      <c r="K480" s="27" t="s">
        <v>3051</v>
      </c>
    </row>
    <row r="481" customFormat="false" ht="30" hidden="false" customHeight="true" outlineLevel="0" collapsed="false">
      <c r="A481" s="28" t="s">
        <v>1109</v>
      </c>
      <c r="B481" s="32" t="s">
        <v>63</v>
      </c>
      <c r="C481" s="28" t="n">
        <v>1</v>
      </c>
      <c r="D481" s="28" t="n">
        <v>2</v>
      </c>
      <c r="E481" s="28" t="n">
        <v>1</v>
      </c>
      <c r="F481" s="38" t="s">
        <v>2084</v>
      </c>
      <c r="G481" s="28" t="s">
        <v>1419</v>
      </c>
      <c r="H481" s="27" t="s">
        <v>580</v>
      </c>
      <c r="I481" s="27" t="s">
        <v>3052</v>
      </c>
      <c r="J481" s="27" t="s">
        <v>3053</v>
      </c>
      <c r="K481" s="27" t="s">
        <v>3054</v>
      </c>
    </row>
    <row r="482" customFormat="false" ht="30" hidden="false" customHeight="true" outlineLevel="0" collapsed="false">
      <c r="A482" s="28" t="s">
        <v>1109</v>
      </c>
      <c r="B482" s="32" t="s">
        <v>63</v>
      </c>
      <c r="C482" s="28" t="n">
        <v>1</v>
      </c>
      <c r="D482" s="28" t="n">
        <v>2</v>
      </c>
      <c r="E482" s="28" t="n">
        <v>2</v>
      </c>
      <c r="F482" s="38" t="s">
        <v>2088</v>
      </c>
      <c r="G482" s="28" t="s">
        <v>1419</v>
      </c>
      <c r="H482" s="27" t="s">
        <v>580</v>
      </c>
      <c r="I482" s="27" t="s">
        <v>3055</v>
      </c>
      <c r="J482" s="27" t="s">
        <v>3056</v>
      </c>
      <c r="K482" s="31" t="s">
        <v>3057</v>
      </c>
    </row>
    <row r="483" customFormat="false" ht="30" hidden="false" customHeight="true" outlineLevel="0" collapsed="false">
      <c r="A483" s="28" t="s">
        <v>1109</v>
      </c>
      <c r="B483" s="32" t="s">
        <v>63</v>
      </c>
      <c r="C483" s="28" t="n">
        <v>1</v>
      </c>
      <c r="D483" s="28" t="n">
        <v>2</v>
      </c>
      <c r="E483" s="28" t="n">
        <v>3</v>
      </c>
      <c r="F483" s="38" t="s">
        <v>3058</v>
      </c>
      <c r="G483" s="28" t="s">
        <v>1419</v>
      </c>
      <c r="H483" s="27" t="s">
        <v>580</v>
      </c>
      <c r="I483" s="27" t="s">
        <v>3059</v>
      </c>
      <c r="J483" s="27" t="s">
        <v>3060</v>
      </c>
      <c r="K483" s="27" t="s">
        <v>3061</v>
      </c>
    </row>
    <row r="484" customFormat="false" ht="30" hidden="false" customHeight="true" outlineLevel="0" collapsed="false">
      <c r="A484" s="28" t="s">
        <v>1109</v>
      </c>
      <c r="B484" s="32" t="s">
        <v>63</v>
      </c>
      <c r="C484" s="28" t="n">
        <v>1</v>
      </c>
      <c r="D484" s="28" t="n">
        <v>3</v>
      </c>
      <c r="E484" s="28" t="n">
        <v>1</v>
      </c>
      <c r="F484" s="38" t="s">
        <v>2092</v>
      </c>
      <c r="G484" s="28" t="s">
        <v>1424</v>
      </c>
      <c r="H484" s="27" t="s">
        <v>589</v>
      </c>
      <c r="I484" s="27" t="s">
        <v>3062</v>
      </c>
      <c r="J484" s="31" t="s">
        <v>3063</v>
      </c>
      <c r="K484" s="27" t="s">
        <v>3064</v>
      </c>
    </row>
    <row r="485" customFormat="false" ht="39" hidden="false" customHeight="true" outlineLevel="0" collapsed="false">
      <c r="A485" s="28" t="s">
        <v>1109</v>
      </c>
      <c r="B485" s="32" t="s">
        <v>63</v>
      </c>
      <c r="C485" s="28" t="n">
        <v>1</v>
      </c>
      <c r="D485" s="28" t="n">
        <v>3</v>
      </c>
      <c r="E485" s="28" t="n">
        <v>2</v>
      </c>
      <c r="F485" s="38" t="s">
        <v>2096</v>
      </c>
      <c r="G485" s="28" t="s">
        <v>1424</v>
      </c>
      <c r="H485" s="27" t="s">
        <v>589</v>
      </c>
      <c r="I485" s="27" t="s">
        <v>3065</v>
      </c>
      <c r="J485" s="31" t="s">
        <v>3066</v>
      </c>
      <c r="K485" s="27" t="s">
        <v>3067</v>
      </c>
    </row>
    <row r="486" customFormat="false" ht="30" hidden="false" customHeight="true" outlineLevel="0" collapsed="false">
      <c r="A486" s="28" t="s">
        <v>1109</v>
      </c>
      <c r="B486" s="32" t="s">
        <v>63</v>
      </c>
      <c r="C486" s="28" t="n">
        <v>1</v>
      </c>
      <c r="D486" s="28" t="n">
        <v>3</v>
      </c>
      <c r="E486" s="28" t="n">
        <v>3</v>
      </c>
      <c r="F486" s="38" t="s">
        <v>2100</v>
      </c>
      <c r="G486" s="28" t="s">
        <v>1424</v>
      </c>
      <c r="H486" s="27" t="s">
        <v>589</v>
      </c>
      <c r="I486" s="27" t="s">
        <v>3068</v>
      </c>
      <c r="J486" s="31" t="s">
        <v>3069</v>
      </c>
      <c r="K486" s="27" t="s">
        <v>3070</v>
      </c>
    </row>
    <row r="487" customFormat="false" ht="30" hidden="false" customHeight="true" outlineLevel="0" collapsed="false">
      <c r="A487" s="28" t="s">
        <v>1109</v>
      </c>
      <c r="B487" s="32" t="s">
        <v>63</v>
      </c>
      <c r="C487" s="28" t="n">
        <v>1</v>
      </c>
      <c r="D487" s="28" t="n">
        <v>4</v>
      </c>
      <c r="E487" s="28" t="n">
        <v>1</v>
      </c>
      <c r="F487" s="38" t="s">
        <v>599</v>
      </c>
      <c r="G487" s="28" t="s">
        <v>1428</v>
      </c>
      <c r="H487" s="27" t="s">
        <v>1033</v>
      </c>
      <c r="I487" s="27" t="s">
        <v>3071</v>
      </c>
      <c r="J487" s="27" t="s">
        <v>3072</v>
      </c>
      <c r="K487" s="27" t="s">
        <v>3073</v>
      </c>
    </row>
    <row r="488" customFormat="false" ht="39" hidden="false" customHeight="true" outlineLevel="0" collapsed="false">
      <c r="A488" s="28" t="s">
        <v>1109</v>
      </c>
      <c r="B488" s="32" t="s">
        <v>63</v>
      </c>
      <c r="C488" s="28" t="n">
        <v>2</v>
      </c>
      <c r="D488" s="28" t="n">
        <v>1</v>
      </c>
      <c r="E488" s="28" t="n">
        <v>1</v>
      </c>
      <c r="F488" s="38" t="s">
        <v>2107</v>
      </c>
      <c r="G488" s="28" t="s">
        <v>1431</v>
      </c>
      <c r="H488" s="27" t="s">
        <v>1039</v>
      </c>
      <c r="I488" s="27" t="s">
        <v>3074</v>
      </c>
      <c r="J488" s="31" t="s">
        <v>3075</v>
      </c>
      <c r="K488" s="27" t="s">
        <v>3076</v>
      </c>
    </row>
    <row r="489" customFormat="false" ht="30" hidden="false" customHeight="true" outlineLevel="0" collapsed="false">
      <c r="A489" s="28" t="s">
        <v>1109</v>
      </c>
      <c r="B489" s="32" t="s">
        <v>63</v>
      </c>
      <c r="C489" s="28" t="n">
        <v>2</v>
      </c>
      <c r="D489" s="28" t="n">
        <v>1</v>
      </c>
      <c r="E489" s="28" t="n">
        <v>2</v>
      </c>
      <c r="F489" s="38" t="s">
        <v>2111</v>
      </c>
      <c r="G489" s="28" t="s">
        <v>1431</v>
      </c>
      <c r="H489" s="27" t="s">
        <v>1039</v>
      </c>
      <c r="I489" s="27" t="s">
        <v>3077</v>
      </c>
      <c r="J489" s="27" t="s">
        <v>3078</v>
      </c>
      <c r="K489" s="27" t="s">
        <v>3079</v>
      </c>
    </row>
    <row r="490" customFormat="false" ht="39" hidden="false" customHeight="true" outlineLevel="0" collapsed="false">
      <c r="A490" s="28" t="s">
        <v>1109</v>
      </c>
      <c r="B490" s="32" t="s">
        <v>63</v>
      </c>
      <c r="C490" s="28" t="n">
        <v>2</v>
      </c>
      <c r="D490" s="28" t="n">
        <v>2</v>
      </c>
      <c r="E490" s="28" t="n">
        <v>1</v>
      </c>
      <c r="F490" s="38" t="s">
        <v>2119</v>
      </c>
      <c r="G490" s="28" t="s">
        <v>1437</v>
      </c>
      <c r="H490" s="27" t="s">
        <v>1440</v>
      </c>
      <c r="I490" s="27" t="s">
        <v>3080</v>
      </c>
      <c r="J490" s="27" t="s">
        <v>3081</v>
      </c>
      <c r="K490" s="27" t="s">
        <v>3082</v>
      </c>
    </row>
    <row r="491" customFormat="false" ht="39" hidden="false" customHeight="true" outlineLevel="0" collapsed="false">
      <c r="A491" s="28" t="s">
        <v>1109</v>
      </c>
      <c r="B491" s="32" t="s">
        <v>63</v>
      </c>
      <c r="C491" s="28" t="n">
        <v>2</v>
      </c>
      <c r="D491" s="28" t="n">
        <v>2</v>
      </c>
      <c r="E491" s="28" t="n">
        <v>2</v>
      </c>
      <c r="F491" s="38" t="s">
        <v>2123</v>
      </c>
      <c r="G491" s="28" t="s">
        <v>1437</v>
      </c>
      <c r="H491" s="27" t="s">
        <v>1440</v>
      </c>
      <c r="I491" s="27" t="s">
        <v>3083</v>
      </c>
      <c r="J491" s="27" t="s">
        <v>3084</v>
      </c>
      <c r="K491" s="27" t="s">
        <v>3085</v>
      </c>
    </row>
    <row r="492" customFormat="false" ht="39" hidden="false" customHeight="true" outlineLevel="0" collapsed="false">
      <c r="A492" s="28" t="s">
        <v>1109</v>
      </c>
      <c r="B492" s="32" t="s">
        <v>63</v>
      </c>
      <c r="C492" s="28" t="n">
        <v>2</v>
      </c>
      <c r="D492" s="28" t="n">
        <v>3</v>
      </c>
      <c r="E492" s="28" t="n">
        <v>1</v>
      </c>
      <c r="F492" s="38" t="s">
        <v>627</v>
      </c>
      <c r="G492" s="28" t="s">
        <v>1443</v>
      </c>
      <c r="H492" s="27" t="s">
        <v>1053</v>
      </c>
      <c r="I492" s="27" t="s">
        <v>3086</v>
      </c>
      <c r="J492" s="31" t="s">
        <v>3087</v>
      </c>
      <c r="K492" s="27" t="s">
        <v>3088</v>
      </c>
    </row>
    <row r="493" customFormat="false" ht="51.75" hidden="false" customHeight="true" outlineLevel="0" collapsed="false">
      <c r="A493" s="28" t="s">
        <v>1109</v>
      </c>
      <c r="B493" s="32" t="s">
        <v>63</v>
      </c>
      <c r="C493" s="28" t="n">
        <v>2</v>
      </c>
      <c r="D493" s="28" t="n">
        <v>3</v>
      </c>
      <c r="E493" s="28" t="n">
        <v>2</v>
      </c>
      <c r="F493" s="38" t="s">
        <v>3089</v>
      </c>
      <c r="G493" s="28" t="s">
        <v>1443</v>
      </c>
      <c r="H493" s="27" t="s">
        <v>1053</v>
      </c>
      <c r="I493" s="27" t="s">
        <v>3090</v>
      </c>
      <c r="J493" s="31" t="s">
        <v>3091</v>
      </c>
      <c r="K493" s="27" t="s">
        <v>3092</v>
      </c>
    </row>
    <row r="494" customFormat="false" ht="30" hidden="false" customHeight="true" outlineLevel="0" collapsed="false">
      <c r="A494" s="28" t="s">
        <v>1109</v>
      </c>
      <c r="B494" s="32" t="s">
        <v>63</v>
      </c>
      <c r="C494" s="28" t="n">
        <v>2</v>
      </c>
      <c r="D494" s="28" t="n">
        <v>4</v>
      </c>
      <c r="E494" s="28" t="n">
        <v>1</v>
      </c>
      <c r="F494" s="38" t="s">
        <v>2130</v>
      </c>
      <c r="G494" s="28" t="s">
        <v>1449</v>
      </c>
      <c r="H494" s="27" t="s">
        <v>1452</v>
      </c>
      <c r="I494" s="27" t="s">
        <v>3093</v>
      </c>
      <c r="J494" s="27" t="s">
        <v>3094</v>
      </c>
      <c r="K494" s="27" t="s">
        <v>3095</v>
      </c>
    </row>
    <row r="495" customFormat="false" ht="51.75" hidden="false" customHeight="true" outlineLevel="0" collapsed="false">
      <c r="A495" s="28" t="s">
        <v>1109</v>
      </c>
      <c r="B495" s="32" t="s">
        <v>63</v>
      </c>
      <c r="C495" s="28" t="n">
        <v>2</v>
      </c>
      <c r="D495" s="28" t="n">
        <v>4</v>
      </c>
      <c r="E495" s="28" t="n">
        <v>2</v>
      </c>
      <c r="F495" s="38" t="s">
        <v>2134</v>
      </c>
      <c r="G495" s="28" t="s">
        <v>1449</v>
      </c>
      <c r="H495" s="27" t="s">
        <v>1452</v>
      </c>
      <c r="I495" s="27" t="s">
        <v>3096</v>
      </c>
      <c r="J495" s="27" t="s">
        <v>3097</v>
      </c>
      <c r="K495" s="27" t="s">
        <v>3098</v>
      </c>
    </row>
    <row r="496" customFormat="false" ht="51.75" hidden="false" customHeight="true" outlineLevel="0" collapsed="false">
      <c r="A496" s="28" t="s">
        <v>1109</v>
      </c>
      <c r="B496" s="32" t="s">
        <v>63</v>
      </c>
      <c r="C496" s="28" t="n">
        <v>3</v>
      </c>
      <c r="D496" s="28" t="n">
        <v>1</v>
      </c>
      <c r="E496" s="28" t="n">
        <v>1</v>
      </c>
      <c r="F496" s="38" t="s">
        <v>2138</v>
      </c>
      <c r="G496" s="28" t="s">
        <v>1456</v>
      </c>
      <c r="H496" s="27" t="s">
        <v>1459</v>
      </c>
      <c r="I496" s="27" t="s">
        <v>3099</v>
      </c>
      <c r="J496" s="31" t="s">
        <v>3100</v>
      </c>
      <c r="K496" s="27" t="s">
        <v>3101</v>
      </c>
    </row>
    <row r="497" customFormat="false" ht="64.5" hidden="false" customHeight="true" outlineLevel="0" collapsed="false">
      <c r="A497" s="28" t="s">
        <v>1109</v>
      </c>
      <c r="B497" s="32" t="s">
        <v>63</v>
      </c>
      <c r="C497" s="28" t="n">
        <v>3</v>
      </c>
      <c r="D497" s="28" t="n">
        <v>1</v>
      </c>
      <c r="E497" s="28" t="n">
        <v>2</v>
      </c>
      <c r="F497" s="38" t="s">
        <v>2142</v>
      </c>
      <c r="G497" s="28" t="s">
        <v>1456</v>
      </c>
      <c r="H497" s="27" t="s">
        <v>1459</v>
      </c>
      <c r="I497" s="27" t="s">
        <v>3102</v>
      </c>
      <c r="J497" s="27" t="s">
        <v>3103</v>
      </c>
      <c r="K497" s="27" t="s">
        <v>3104</v>
      </c>
    </row>
    <row r="498" customFormat="false" ht="78" hidden="false" customHeight="true" outlineLevel="0" collapsed="false">
      <c r="A498" s="28" t="s">
        <v>1109</v>
      </c>
      <c r="B498" s="32" t="s">
        <v>63</v>
      </c>
      <c r="C498" s="28" t="n">
        <v>3</v>
      </c>
      <c r="D498" s="28" t="n">
        <v>1</v>
      </c>
      <c r="E498" s="28" t="n">
        <v>3</v>
      </c>
      <c r="F498" s="38" t="s">
        <v>2146</v>
      </c>
      <c r="G498" s="28" t="s">
        <v>1456</v>
      </c>
      <c r="H498" s="27" t="s">
        <v>1459</v>
      </c>
      <c r="I498" s="27" t="s">
        <v>3105</v>
      </c>
      <c r="J498" s="27" t="s">
        <v>3106</v>
      </c>
      <c r="K498" s="27" t="s">
        <v>3107</v>
      </c>
    </row>
    <row r="499" customFormat="false" ht="39" hidden="false" customHeight="true" outlineLevel="0" collapsed="false">
      <c r="A499" s="28" t="s">
        <v>1109</v>
      </c>
      <c r="B499" s="32" t="s">
        <v>63</v>
      </c>
      <c r="C499" s="28" t="n">
        <v>3</v>
      </c>
      <c r="D499" s="28" t="n">
        <v>2</v>
      </c>
      <c r="E499" s="28" t="n">
        <v>1</v>
      </c>
      <c r="F499" s="38" t="s">
        <v>2154</v>
      </c>
      <c r="G499" s="28" t="s">
        <v>1463</v>
      </c>
      <c r="H499" s="27" t="s">
        <v>652</v>
      </c>
      <c r="I499" s="27" t="s">
        <v>3108</v>
      </c>
      <c r="J499" s="27" t="s">
        <v>3109</v>
      </c>
      <c r="K499" s="27" t="s">
        <v>3110</v>
      </c>
    </row>
    <row r="500" customFormat="false" ht="39" hidden="false" customHeight="true" outlineLevel="0" collapsed="false">
      <c r="A500" s="28" t="s">
        <v>1109</v>
      </c>
      <c r="B500" s="32" t="s">
        <v>63</v>
      </c>
      <c r="C500" s="28" t="n">
        <v>3</v>
      </c>
      <c r="D500" s="28" t="n">
        <v>2</v>
      </c>
      <c r="E500" s="28" t="n">
        <v>2</v>
      </c>
      <c r="F500" s="38" t="s">
        <v>2158</v>
      </c>
      <c r="G500" s="28" t="s">
        <v>1463</v>
      </c>
      <c r="H500" s="27" t="s">
        <v>652</v>
      </c>
      <c r="I500" s="27" t="s">
        <v>3111</v>
      </c>
      <c r="J500" s="27" t="s">
        <v>3112</v>
      </c>
      <c r="K500" s="27" t="s">
        <v>3113</v>
      </c>
    </row>
    <row r="501" customFormat="false" ht="39" hidden="false" customHeight="true" outlineLevel="0" collapsed="false">
      <c r="A501" s="28" t="s">
        <v>1109</v>
      </c>
      <c r="B501" s="32" t="s">
        <v>63</v>
      </c>
      <c r="C501" s="28" t="n">
        <v>3</v>
      </c>
      <c r="D501" s="28" t="n">
        <v>2</v>
      </c>
      <c r="E501" s="28" t="n">
        <v>3</v>
      </c>
      <c r="F501" s="38" t="s">
        <v>2576</v>
      </c>
      <c r="G501" s="28" t="s">
        <v>1463</v>
      </c>
      <c r="H501" s="27" t="s">
        <v>652</v>
      </c>
      <c r="I501" s="27" t="s">
        <v>3114</v>
      </c>
      <c r="J501" s="27" t="s">
        <v>3115</v>
      </c>
      <c r="K501" s="27" t="s">
        <v>3116</v>
      </c>
    </row>
    <row r="502" customFormat="false" ht="64.5" hidden="false" customHeight="true" outlineLevel="0" collapsed="false">
      <c r="A502" s="28" t="s">
        <v>1109</v>
      </c>
      <c r="B502" s="32" t="s">
        <v>63</v>
      </c>
      <c r="C502" s="28" t="n">
        <v>3</v>
      </c>
      <c r="D502" s="28" t="n">
        <v>3</v>
      </c>
      <c r="E502" s="28" t="n">
        <v>1</v>
      </c>
      <c r="F502" s="38" t="s">
        <v>1472</v>
      </c>
      <c r="G502" s="28" t="s">
        <v>1468</v>
      </c>
      <c r="H502" s="27" t="s">
        <v>1471</v>
      </c>
      <c r="I502" s="27" t="s">
        <v>3117</v>
      </c>
      <c r="J502" s="31" t="s">
        <v>3118</v>
      </c>
      <c r="K502" s="27" t="s">
        <v>3119</v>
      </c>
    </row>
    <row r="503" customFormat="false" ht="51.75" hidden="false" customHeight="true" outlineLevel="0" collapsed="false">
      <c r="A503" s="28" t="s">
        <v>1109</v>
      </c>
      <c r="B503" s="32" t="s">
        <v>63</v>
      </c>
      <c r="C503" s="28" t="n">
        <v>3</v>
      </c>
      <c r="D503" s="28" t="n">
        <v>4</v>
      </c>
      <c r="E503" s="28" t="n">
        <v>1</v>
      </c>
      <c r="F503" s="38" t="s">
        <v>2177</v>
      </c>
      <c r="G503" s="28" t="s">
        <v>1476</v>
      </c>
      <c r="H503" s="27" t="s">
        <v>1077</v>
      </c>
      <c r="I503" s="27" t="s">
        <v>3120</v>
      </c>
      <c r="J503" s="31" t="s">
        <v>3121</v>
      </c>
      <c r="K503" s="27" t="s">
        <v>3122</v>
      </c>
    </row>
    <row r="504" customFormat="false" ht="39" hidden="false" customHeight="true" outlineLevel="0" collapsed="false">
      <c r="A504" s="28" t="s">
        <v>1109</v>
      </c>
      <c r="B504" s="32" t="s">
        <v>63</v>
      </c>
      <c r="C504" s="28" t="n">
        <v>3</v>
      </c>
      <c r="D504" s="28" t="n">
        <v>4</v>
      </c>
      <c r="E504" s="28" t="n">
        <v>2</v>
      </c>
      <c r="F504" s="38" t="s">
        <v>2181</v>
      </c>
      <c r="G504" s="28" t="s">
        <v>1476</v>
      </c>
      <c r="H504" s="27" t="s">
        <v>1077</v>
      </c>
      <c r="I504" s="27" t="s">
        <v>3123</v>
      </c>
      <c r="J504" s="27" t="s">
        <v>3124</v>
      </c>
      <c r="K504" s="27" t="s">
        <v>3125</v>
      </c>
    </row>
    <row r="505" customFormat="false" ht="78" hidden="false" customHeight="true" outlineLevel="0" collapsed="false">
      <c r="A505" s="28" t="s">
        <v>1109</v>
      </c>
      <c r="B505" s="32" t="s">
        <v>63</v>
      </c>
      <c r="C505" s="28" t="n">
        <v>4</v>
      </c>
      <c r="D505" s="28" t="n">
        <v>1</v>
      </c>
      <c r="E505" s="28" t="n">
        <v>1</v>
      </c>
      <c r="F505" s="38" t="s">
        <v>680</v>
      </c>
      <c r="G505" s="28" t="s">
        <v>1481</v>
      </c>
      <c r="H505" s="27" t="s">
        <v>1484</v>
      </c>
      <c r="I505" s="27" t="s">
        <v>3126</v>
      </c>
      <c r="J505" s="27" t="s">
        <v>3127</v>
      </c>
      <c r="K505" s="27" t="s">
        <v>3128</v>
      </c>
    </row>
    <row r="506" customFormat="false" ht="78" hidden="false" customHeight="true" outlineLevel="0" collapsed="false">
      <c r="A506" s="28" t="s">
        <v>1109</v>
      </c>
      <c r="B506" s="32" t="s">
        <v>63</v>
      </c>
      <c r="C506" s="28" t="n">
        <v>4</v>
      </c>
      <c r="D506" s="28" t="n">
        <v>1</v>
      </c>
      <c r="E506" s="28" t="n">
        <v>2</v>
      </c>
      <c r="F506" s="38" t="s">
        <v>3129</v>
      </c>
      <c r="G506" s="28" t="s">
        <v>1481</v>
      </c>
      <c r="H506" s="27" t="s">
        <v>1484</v>
      </c>
      <c r="I506" s="27" t="s">
        <v>3130</v>
      </c>
      <c r="J506" s="27" t="s">
        <v>3131</v>
      </c>
      <c r="K506" s="27" t="s">
        <v>3132</v>
      </c>
    </row>
    <row r="507" customFormat="false" ht="64.5" hidden="false" customHeight="true" outlineLevel="0" collapsed="false">
      <c r="A507" s="28" t="s">
        <v>1109</v>
      </c>
      <c r="B507" s="32" t="s">
        <v>63</v>
      </c>
      <c r="C507" s="28" t="n">
        <v>4</v>
      </c>
      <c r="D507" s="28" t="n">
        <v>2</v>
      </c>
      <c r="E507" s="28" t="n">
        <v>1</v>
      </c>
      <c r="F507" s="38" t="s">
        <v>2188</v>
      </c>
      <c r="G507" s="28" t="s">
        <v>1488</v>
      </c>
      <c r="H507" s="27" t="s">
        <v>1491</v>
      </c>
      <c r="I507" s="27" t="s">
        <v>3133</v>
      </c>
      <c r="J507" s="27" t="s">
        <v>3134</v>
      </c>
      <c r="K507" s="27" t="s">
        <v>3135</v>
      </c>
    </row>
    <row r="508" customFormat="false" ht="39" hidden="false" customHeight="true" outlineLevel="0" collapsed="false">
      <c r="A508" s="28" t="s">
        <v>1109</v>
      </c>
      <c r="B508" s="32" t="s">
        <v>63</v>
      </c>
      <c r="C508" s="28" t="n">
        <v>4</v>
      </c>
      <c r="D508" s="28" t="n">
        <v>2</v>
      </c>
      <c r="E508" s="28" t="n">
        <v>2</v>
      </c>
      <c r="F508" s="38" t="s">
        <v>2192</v>
      </c>
      <c r="G508" s="28" t="s">
        <v>1488</v>
      </c>
      <c r="H508" s="27" t="s">
        <v>1491</v>
      </c>
      <c r="I508" s="27" t="s">
        <v>3136</v>
      </c>
      <c r="J508" s="27" t="s">
        <v>3137</v>
      </c>
      <c r="K508" s="27" t="s">
        <v>3138</v>
      </c>
    </row>
    <row r="509" customFormat="false" ht="30" hidden="false" customHeight="true" outlineLevel="0" collapsed="false">
      <c r="A509" s="28" t="s">
        <v>1109</v>
      </c>
      <c r="B509" s="32" t="s">
        <v>63</v>
      </c>
      <c r="C509" s="28" t="n">
        <v>4</v>
      </c>
      <c r="D509" s="28" t="n">
        <v>2</v>
      </c>
      <c r="E509" s="28" t="n">
        <v>3</v>
      </c>
      <c r="F509" s="38" t="s">
        <v>3139</v>
      </c>
      <c r="G509" s="28" t="s">
        <v>1488</v>
      </c>
      <c r="H509" s="27" t="s">
        <v>1491</v>
      </c>
      <c r="I509" s="27" t="s">
        <v>3140</v>
      </c>
      <c r="J509" s="27" t="s">
        <v>3141</v>
      </c>
      <c r="K509" s="27" t="s">
        <v>3142</v>
      </c>
    </row>
    <row r="510" customFormat="false" ht="39" hidden="false" customHeight="true" outlineLevel="0" collapsed="false">
      <c r="A510" s="28" t="s">
        <v>1109</v>
      </c>
      <c r="B510" s="32" t="s">
        <v>63</v>
      </c>
      <c r="C510" s="28" t="n">
        <v>4</v>
      </c>
      <c r="D510" s="28" t="n">
        <v>2</v>
      </c>
      <c r="E510" s="28" t="n">
        <v>4</v>
      </c>
      <c r="F510" s="38" t="s">
        <v>3143</v>
      </c>
      <c r="G510" s="28" t="s">
        <v>1488</v>
      </c>
      <c r="H510" s="27" t="s">
        <v>1491</v>
      </c>
      <c r="I510" s="27" t="s">
        <v>3144</v>
      </c>
      <c r="J510" s="27" t="s">
        <v>3145</v>
      </c>
      <c r="K510" s="27" t="s">
        <v>3146</v>
      </c>
    </row>
    <row r="511" customFormat="false" ht="78" hidden="false" customHeight="true" outlineLevel="0" collapsed="false">
      <c r="A511" s="28" t="s">
        <v>1109</v>
      </c>
      <c r="B511" s="32" t="s">
        <v>63</v>
      </c>
      <c r="C511" s="28" t="n">
        <v>4</v>
      </c>
      <c r="D511" s="28" t="n">
        <v>3</v>
      </c>
      <c r="E511" s="28" t="n">
        <v>1</v>
      </c>
      <c r="F511" s="38" t="s">
        <v>2196</v>
      </c>
      <c r="G511" s="28" t="s">
        <v>1497</v>
      </c>
      <c r="H511" s="27" t="s">
        <v>1500</v>
      </c>
      <c r="I511" s="27" t="s">
        <v>3147</v>
      </c>
      <c r="J511" s="27" t="s">
        <v>3148</v>
      </c>
      <c r="K511" s="27" t="s">
        <v>3149</v>
      </c>
    </row>
    <row r="512" customFormat="false" ht="78" hidden="false" customHeight="true" outlineLevel="0" collapsed="false">
      <c r="A512" s="28" t="s">
        <v>1109</v>
      </c>
      <c r="B512" s="32" t="s">
        <v>63</v>
      </c>
      <c r="C512" s="28" t="n">
        <v>4</v>
      </c>
      <c r="D512" s="28" t="n">
        <v>3</v>
      </c>
      <c r="E512" s="28" t="n">
        <v>2</v>
      </c>
      <c r="F512" s="38" t="s">
        <v>2200</v>
      </c>
      <c r="G512" s="28" t="s">
        <v>1497</v>
      </c>
      <c r="H512" s="27" t="s">
        <v>1500</v>
      </c>
      <c r="I512" s="27" t="s">
        <v>3150</v>
      </c>
      <c r="J512" s="27" t="s">
        <v>3151</v>
      </c>
      <c r="K512" s="27" t="s">
        <v>3152</v>
      </c>
    </row>
    <row r="513" customFormat="false" ht="103.5" hidden="false" customHeight="true" outlineLevel="0" collapsed="false">
      <c r="A513" s="28" t="s">
        <v>1109</v>
      </c>
      <c r="B513" s="32" t="s">
        <v>63</v>
      </c>
      <c r="C513" s="28" t="n">
        <v>4</v>
      </c>
      <c r="D513" s="28" t="n">
        <v>4</v>
      </c>
      <c r="E513" s="28" t="n">
        <v>1</v>
      </c>
      <c r="F513" s="38" t="s">
        <v>2204</v>
      </c>
      <c r="G513" s="28" t="s">
        <v>1504</v>
      </c>
      <c r="H513" s="27" t="s">
        <v>1507</v>
      </c>
      <c r="I513" s="27" t="s">
        <v>3153</v>
      </c>
      <c r="J513" s="27" t="s">
        <v>3154</v>
      </c>
      <c r="K513" s="27" t="s">
        <v>3155</v>
      </c>
    </row>
    <row r="514" customFormat="false" ht="78" hidden="false" customHeight="true" outlineLevel="0" collapsed="false">
      <c r="A514" s="28" t="s">
        <v>1109</v>
      </c>
      <c r="B514" s="32" t="s">
        <v>63</v>
      </c>
      <c r="C514" s="28" t="n">
        <v>4</v>
      </c>
      <c r="D514" s="28" t="n">
        <v>4</v>
      </c>
      <c r="E514" s="28" t="n">
        <v>2</v>
      </c>
      <c r="F514" s="38" t="s">
        <v>2207</v>
      </c>
      <c r="G514" s="28" t="s">
        <v>1504</v>
      </c>
      <c r="H514" s="27" t="s">
        <v>1507</v>
      </c>
      <c r="I514" s="27" t="s">
        <v>3156</v>
      </c>
      <c r="J514" s="27" t="s">
        <v>3157</v>
      </c>
      <c r="K514" s="27" t="s">
        <v>3158</v>
      </c>
    </row>
    <row r="515" customFormat="false" ht="103.5" hidden="false" customHeight="true" outlineLevel="0" collapsed="false">
      <c r="A515" s="28" t="s">
        <v>1109</v>
      </c>
      <c r="B515" s="32" t="s">
        <v>63</v>
      </c>
      <c r="C515" s="28" t="n">
        <v>4</v>
      </c>
      <c r="D515" s="28" t="n">
        <v>4</v>
      </c>
      <c r="E515" s="28" t="n">
        <v>3</v>
      </c>
      <c r="F515" s="38" t="s">
        <v>3159</v>
      </c>
      <c r="G515" s="28" t="s">
        <v>1504</v>
      </c>
      <c r="H515" s="27" t="s">
        <v>1507</v>
      </c>
      <c r="I515" s="27" t="s">
        <v>3160</v>
      </c>
      <c r="J515" s="31" t="s">
        <v>3161</v>
      </c>
      <c r="K515" s="27" t="s">
        <v>3162</v>
      </c>
    </row>
  </sheetData>
  <autoFilter ref="A1:K5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60"/>
    <col collapsed="false" customWidth="true" hidden="false" outlineLevel="0" max="6" min="6" style="0" width="3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0" t="s">
        <v>3163</v>
      </c>
      <c r="B1" s="10" t="s">
        <v>3164</v>
      </c>
      <c r="C1" s="10" t="s">
        <v>3165</v>
      </c>
      <c r="D1" s="10" t="s">
        <v>3166</v>
      </c>
      <c r="E1" s="10" t="s">
        <v>3</v>
      </c>
      <c r="F1" s="10" t="s">
        <v>3167</v>
      </c>
      <c r="G1" s="10" t="s">
        <v>3168</v>
      </c>
    </row>
    <row r="2" customFormat="false" ht="31.5" hidden="false" customHeight="true" outlineLevel="0" collapsed="false">
      <c r="A2" s="28" t="n">
        <v>1</v>
      </c>
      <c r="B2" s="28" t="s">
        <v>3169</v>
      </c>
      <c r="C2" s="27" t="s">
        <v>3170</v>
      </c>
      <c r="D2" s="31" t="s">
        <v>3171</v>
      </c>
      <c r="E2" s="27" t="s">
        <v>3172</v>
      </c>
      <c r="F2" s="27" t="s">
        <v>3173</v>
      </c>
      <c r="G2" s="33"/>
    </row>
    <row r="3" customFormat="false" ht="31.5" hidden="false" customHeight="true" outlineLevel="0" collapsed="false">
      <c r="A3" s="28" t="n">
        <v>2</v>
      </c>
      <c r="B3" s="28" t="s">
        <v>3169</v>
      </c>
      <c r="C3" s="27" t="s">
        <v>3170</v>
      </c>
      <c r="D3" s="31" t="s">
        <v>3174</v>
      </c>
      <c r="E3" s="27" t="s">
        <v>3175</v>
      </c>
      <c r="F3" s="27" t="s">
        <v>3176</v>
      </c>
      <c r="G3" s="33"/>
    </row>
    <row r="4" customFormat="false" ht="31.5" hidden="false" customHeight="true" outlineLevel="0" collapsed="false">
      <c r="A4" s="28" t="n">
        <v>3</v>
      </c>
      <c r="B4" s="28" t="s">
        <v>3169</v>
      </c>
      <c r="C4" s="27" t="s">
        <v>3170</v>
      </c>
      <c r="D4" s="31" t="s">
        <v>3177</v>
      </c>
      <c r="E4" s="27" t="s">
        <v>3178</v>
      </c>
      <c r="F4" s="27" t="s">
        <v>3179</v>
      </c>
      <c r="G4" s="33"/>
    </row>
    <row r="5" customFormat="false" ht="31.5" hidden="false" customHeight="true" outlineLevel="0" collapsed="false">
      <c r="A5" s="28" t="n">
        <v>4</v>
      </c>
      <c r="B5" s="28" t="s">
        <v>3169</v>
      </c>
      <c r="C5" s="27" t="s">
        <v>3180</v>
      </c>
      <c r="D5" s="31" t="s">
        <v>1795</v>
      </c>
      <c r="E5" s="27" t="s">
        <v>3181</v>
      </c>
      <c r="F5" s="31" t="s">
        <v>3182</v>
      </c>
      <c r="G5" s="33"/>
    </row>
    <row r="6" customFormat="false" ht="31.5" hidden="false" customHeight="true" outlineLevel="0" collapsed="false">
      <c r="A6" s="28" t="n">
        <v>5</v>
      </c>
      <c r="B6" s="28" t="s">
        <v>3183</v>
      </c>
      <c r="C6" s="27" t="s">
        <v>3180</v>
      </c>
      <c r="D6" s="31" t="s">
        <v>3184</v>
      </c>
      <c r="E6" s="27" t="s">
        <v>3185</v>
      </c>
      <c r="F6" s="27" t="s">
        <v>3186</v>
      </c>
      <c r="G6" s="33"/>
    </row>
    <row r="7" customFormat="false" ht="31.5" hidden="false" customHeight="true" outlineLevel="0" collapsed="false">
      <c r="A7" s="28" t="n">
        <v>6</v>
      </c>
      <c r="B7" s="28" t="s">
        <v>3187</v>
      </c>
      <c r="C7" s="27" t="s">
        <v>3188</v>
      </c>
      <c r="D7" s="31" t="s">
        <v>599</v>
      </c>
      <c r="E7" s="27" t="s">
        <v>3189</v>
      </c>
      <c r="F7" s="31" t="s">
        <v>3190</v>
      </c>
      <c r="G7" s="33"/>
    </row>
    <row r="8" customFormat="false" ht="31.5" hidden="false" customHeight="true" outlineLevel="0" collapsed="false">
      <c r="A8" s="28" t="n">
        <v>7</v>
      </c>
      <c r="B8" s="28" t="s">
        <v>3169</v>
      </c>
      <c r="C8" s="27" t="s">
        <v>3191</v>
      </c>
      <c r="D8" s="31" t="s">
        <v>1751</v>
      </c>
      <c r="E8" s="27" t="s">
        <v>3192</v>
      </c>
      <c r="F8" s="31" t="s">
        <v>3193</v>
      </c>
      <c r="G8" s="33"/>
    </row>
    <row r="9" customFormat="false" ht="31.5" hidden="false" customHeight="true" outlineLevel="0" collapsed="false">
      <c r="A9" s="28" t="n">
        <v>8</v>
      </c>
      <c r="B9" s="28" t="s">
        <v>3194</v>
      </c>
      <c r="C9" s="27" t="s">
        <v>3191</v>
      </c>
      <c r="D9" s="31" t="s">
        <v>2865</v>
      </c>
      <c r="E9" s="27" t="s">
        <v>3195</v>
      </c>
      <c r="F9" s="27" t="s">
        <v>3196</v>
      </c>
      <c r="G9" s="33"/>
    </row>
    <row r="10" customFormat="false" ht="31.5" hidden="false" customHeight="true" outlineLevel="0" collapsed="false">
      <c r="A10" s="28" t="n">
        <v>9</v>
      </c>
      <c r="B10" s="28" t="s">
        <v>3197</v>
      </c>
      <c r="C10" s="27" t="s">
        <v>3170</v>
      </c>
      <c r="D10" s="31" t="s">
        <v>3198</v>
      </c>
      <c r="E10" s="27" t="s">
        <v>3199</v>
      </c>
      <c r="F10" s="27" t="s">
        <v>3200</v>
      </c>
      <c r="G10" s="33"/>
    </row>
    <row r="11" customFormat="false" ht="31.5" hidden="false" customHeight="true" outlineLevel="0" collapsed="false">
      <c r="A11" s="28" t="n">
        <v>10</v>
      </c>
      <c r="B11" s="28" t="s">
        <v>3201</v>
      </c>
      <c r="C11" s="27" t="s">
        <v>3180</v>
      </c>
      <c r="D11" s="31" t="s">
        <v>1696</v>
      </c>
      <c r="E11" s="27" t="s">
        <v>3202</v>
      </c>
      <c r="F11" s="27" t="s">
        <v>3203</v>
      </c>
      <c r="G11" s="33"/>
    </row>
    <row r="12" customFormat="false" ht="31.5" hidden="false" customHeight="true" outlineLevel="0" collapsed="false">
      <c r="A12" s="28" t="n">
        <v>11</v>
      </c>
      <c r="B12" s="28" t="s">
        <v>3201</v>
      </c>
      <c r="C12" s="27" t="s">
        <v>3180</v>
      </c>
      <c r="D12" s="31" t="s">
        <v>1775</v>
      </c>
      <c r="E12" s="27" t="s">
        <v>3204</v>
      </c>
      <c r="F12" s="27" t="s">
        <v>3205</v>
      </c>
      <c r="G12" s="33"/>
    </row>
    <row r="13" customFormat="false" ht="31.5" hidden="false" customHeight="true" outlineLevel="0" collapsed="false">
      <c r="A13" s="28" t="n">
        <v>12</v>
      </c>
      <c r="B13" s="28" t="s">
        <v>3201</v>
      </c>
      <c r="C13" s="27" t="s">
        <v>3206</v>
      </c>
      <c r="D13" s="31" t="s">
        <v>1585</v>
      </c>
      <c r="E13" s="27" t="s">
        <v>3207</v>
      </c>
      <c r="F13" s="27" t="s">
        <v>3208</v>
      </c>
      <c r="G13" s="33"/>
    </row>
    <row r="14" customFormat="false" ht="31.5" hidden="false" customHeight="true" outlineLevel="0" collapsed="false">
      <c r="A14" s="28" t="n">
        <v>13</v>
      </c>
      <c r="B14" s="28" t="s">
        <v>3201</v>
      </c>
      <c r="C14" s="27" t="s">
        <v>3209</v>
      </c>
      <c r="D14" s="31" t="s">
        <v>1735</v>
      </c>
      <c r="E14" s="27" t="s">
        <v>3210</v>
      </c>
      <c r="F14" s="27" t="s">
        <v>3211</v>
      </c>
      <c r="G14" s="33"/>
    </row>
    <row r="15" customFormat="false" ht="31.5" hidden="false" customHeight="true" outlineLevel="0" collapsed="false">
      <c r="A15" s="28" t="n">
        <v>14</v>
      </c>
      <c r="B15" s="28" t="s">
        <v>3201</v>
      </c>
      <c r="C15" s="27" t="s">
        <v>3212</v>
      </c>
      <c r="D15" s="31" t="s">
        <v>3213</v>
      </c>
      <c r="E15" s="31" t="s">
        <v>3214</v>
      </c>
      <c r="F15" s="27" t="s">
        <v>3215</v>
      </c>
      <c r="G15" s="33"/>
    </row>
    <row r="16" customFormat="false" ht="31.5" hidden="false" customHeight="true" outlineLevel="0" collapsed="false">
      <c r="A16" s="28" t="n">
        <v>15</v>
      </c>
      <c r="B16" s="28" t="s">
        <v>3216</v>
      </c>
      <c r="C16" s="27" t="s">
        <v>3217</v>
      </c>
      <c r="D16" s="31" t="s">
        <v>3218</v>
      </c>
      <c r="E16" s="27" t="s">
        <v>3219</v>
      </c>
      <c r="F16" s="27" t="s">
        <v>3220</v>
      </c>
      <c r="G16" s="33"/>
    </row>
    <row r="17" customFormat="false" ht="31.5" hidden="false" customHeight="true" outlineLevel="0" collapsed="false">
      <c r="A17" s="28" t="n">
        <v>16</v>
      </c>
      <c r="B17" s="28" t="s">
        <v>3221</v>
      </c>
      <c r="C17" s="27" t="s">
        <v>3222</v>
      </c>
      <c r="D17" s="31" t="s">
        <v>3223</v>
      </c>
      <c r="E17" s="27" t="s">
        <v>3224</v>
      </c>
      <c r="F17" s="27" t="s">
        <v>3225</v>
      </c>
      <c r="G17" s="33"/>
    </row>
    <row r="19" customFormat="false" ht="15" hidden="false" customHeight="false" outlineLevel="0" collapsed="false">
      <c r="A19" s="39" t="s">
        <v>3226</v>
      </c>
    </row>
  </sheetData>
  <dataValidations count="1">
    <dataValidation allowBlank="true" errorStyle="stop" operator="between" showDropDown="false" showErrorMessage="false" showInputMessage="false" sqref="G2:G17" type="list">
      <formula1>"미처리,수정함,확인 결과 문제없음"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4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0" t="s">
        <v>3164</v>
      </c>
      <c r="B1" s="10" t="s">
        <v>3227</v>
      </c>
      <c r="C1" s="10" t="s">
        <v>3</v>
      </c>
      <c r="D1" s="10" t="s">
        <v>3228</v>
      </c>
      <c r="E1" s="10" t="s">
        <v>3229</v>
      </c>
    </row>
    <row r="2" customFormat="false" ht="33.75" hidden="false" customHeight="true" outlineLevel="0" collapsed="false">
      <c r="A2" s="28" t="s">
        <v>3230</v>
      </c>
      <c r="B2" s="30" t="s">
        <v>3231</v>
      </c>
      <c r="C2" s="27" t="s">
        <v>3232</v>
      </c>
      <c r="D2" s="31" t="s">
        <v>3233</v>
      </c>
      <c r="E2" s="33"/>
    </row>
    <row r="3" customFormat="false" ht="33.75" hidden="false" customHeight="true" outlineLevel="0" collapsed="false">
      <c r="A3" s="28" t="s">
        <v>3230</v>
      </c>
      <c r="B3" s="30" t="s">
        <v>3234</v>
      </c>
      <c r="C3" s="27" t="s">
        <v>3235</v>
      </c>
      <c r="D3" s="31" t="s">
        <v>3236</v>
      </c>
      <c r="E3" s="33"/>
    </row>
    <row r="4" customFormat="false" ht="33.75" hidden="false" customHeight="true" outlineLevel="0" collapsed="false">
      <c r="A4" s="28" t="s">
        <v>3230</v>
      </c>
      <c r="B4" s="30" t="s">
        <v>3237</v>
      </c>
      <c r="C4" s="31" t="s">
        <v>3238</v>
      </c>
      <c r="D4" s="27"/>
      <c r="E4" s="33"/>
    </row>
    <row r="5" customFormat="false" ht="33.75" hidden="false" customHeight="true" outlineLevel="0" collapsed="false">
      <c r="A5" s="28" t="s">
        <v>3239</v>
      </c>
      <c r="B5" s="30" t="s">
        <v>3240</v>
      </c>
      <c r="C5" s="27" t="s">
        <v>3241</v>
      </c>
      <c r="D5" s="27" t="s">
        <v>3242</v>
      </c>
      <c r="E5" s="33"/>
    </row>
    <row r="6" customFormat="false" ht="33.75" hidden="false" customHeight="true" outlineLevel="0" collapsed="false">
      <c r="A6" s="28" t="s">
        <v>3239</v>
      </c>
      <c r="B6" s="30" t="s">
        <v>3243</v>
      </c>
      <c r="C6" s="27" t="s">
        <v>3244</v>
      </c>
      <c r="D6" s="27" t="s">
        <v>3245</v>
      </c>
      <c r="E6" s="33"/>
    </row>
    <row r="7" customFormat="false" ht="33.75" hidden="false" customHeight="true" outlineLevel="0" collapsed="false">
      <c r="A7" s="28" t="s">
        <v>3239</v>
      </c>
      <c r="B7" s="30" t="s">
        <v>3246</v>
      </c>
      <c r="C7" s="27" t="s">
        <v>3247</v>
      </c>
      <c r="D7" s="27" t="s">
        <v>3248</v>
      </c>
      <c r="E7" s="33"/>
    </row>
    <row r="8" customFormat="false" ht="33.75" hidden="false" customHeight="true" outlineLevel="0" collapsed="false">
      <c r="A8" s="28" t="s">
        <v>3249</v>
      </c>
      <c r="B8" s="30" t="s">
        <v>3250</v>
      </c>
      <c r="C8" s="27" t="s">
        <v>3251</v>
      </c>
      <c r="D8" s="27" t="s">
        <v>3252</v>
      </c>
      <c r="E8" s="33"/>
    </row>
    <row r="9" customFormat="false" ht="33.75" hidden="false" customHeight="true" outlineLevel="0" collapsed="false">
      <c r="A9" s="28" t="s">
        <v>3249</v>
      </c>
      <c r="B9" s="30" t="s">
        <v>3253</v>
      </c>
      <c r="C9" s="27" t="s">
        <v>3254</v>
      </c>
      <c r="D9" s="27" t="s">
        <v>3255</v>
      </c>
      <c r="E9" s="33"/>
    </row>
    <row r="10" customFormat="false" ht="33.75" hidden="false" customHeight="true" outlineLevel="0" collapsed="false">
      <c r="A10" s="28" t="s">
        <v>63</v>
      </c>
      <c r="B10" s="30" t="s">
        <v>3256</v>
      </c>
      <c r="C10" s="27" t="s">
        <v>3257</v>
      </c>
      <c r="D10" s="27" t="s">
        <v>3258</v>
      </c>
      <c r="E10" s="33"/>
    </row>
    <row r="11" customFormat="false" ht="33.75" hidden="false" customHeight="true" outlineLevel="0" collapsed="false">
      <c r="A11" s="28" t="s">
        <v>3259</v>
      </c>
      <c r="B11" s="30" t="s">
        <v>3260</v>
      </c>
      <c r="C11" s="27" t="s">
        <v>3261</v>
      </c>
      <c r="D11" s="27" t="s">
        <v>3262</v>
      </c>
      <c r="E11" s="33"/>
    </row>
    <row r="12" customFormat="false" ht="33.75" hidden="false" customHeight="true" outlineLevel="0" collapsed="false">
      <c r="A12" s="28" t="s">
        <v>3259</v>
      </c>
      <c r="B12" s="30" t="s">
        <v>3263</v>
      </c>
      <c r="C12" s="27" t="s">
        <v>3264</v>
      </c>
      <c r="D12" s="27" t="s">
        <v>3265</v>
      </c>
      <c r="E12" s="33"/>
    </row>
    <row r="13" customFormat="false" ht="33.75" hidden="false" customHeight="true" outlineLevel="0" collapsed="false">
      <c r="A13" s="28" t="s">
        <v>3259</v>
      </c>
      <c r="B13" s="30" t="s">
        <v>3266</v>
      </c>
      <c r="C13" s="27" t="s">
        <v>3267</v>
      </c>
      <c r="D13" s="27"/>
      <c r="E13" s="33"/>
    </row>
    <row r="14" customFormat="false" ht="33.75" hidden="false" customHeight="true" outlineLevel="0" collapsed="false">
      <c r="A14" s="28" t="s">
        <v>3268</v>
      </c>
      <c r="B14" s="30" t="s">
        <v>3269</v>
      </c>
      <c r="C14" s="27" t="s">
        <v>3270</v>
      </c>
      <c r="D14" s="31" t="s">
        <v>3271</v>
      </c>
      <c r="E14" s="33"/>
    </row>
    <row r="15" customFormat="false" ht="33.75" hidden="false" customHeight="true" outlineLevel="0" collapsed="false">
      <c r="A15" s="28" t="s">
        <v>3268</v>
      </c>
      <c r="B15" s="30" t="s">
        <v>3272</v>
      </c>
      <c r="C15" s="27" t="s">
        <v>3273</v>
      </c>
      <c r="D15" s="27"/>
      <c r="E15" s="33"/>
    </row>
    <row r="16" customFormat="false" ht="33.75" hidden="false" customHeight="true" outlineLevel="0" collapsed="false">
      <c r="A16" s="28" t="s">
        <v>3268</v>
      </c>
      <c r="B16" s="30" t="s">
        <v>3274</v>
      </c>
      <c r="C16" s="31" t="s">
        <v>3275</v>
      </c>
      <c r="D16" s="27" t="s">
        <v>3276</v>
      </c>
      <c r="E16" s="33"/>
    </row>
    <row r="17" customFormat="false" ht="33.75" hidden="false" customHeight="true" outlineLevel="0" collapsed="false">
      <c r="A17" s="28" t="s">
        <v>3277</v>
      </c>
      <c r="B17" s="30" t="s">
        <v>3278</v>
      </c>
      <c r="C17" s="27" t="s">
        <v>3279</v>
      </c>
      <c r="D17" s="27" t="s">
        <v>3280</v>
      </c>
      <c r="E17" s="33"/>
    </row>
    <row r="18" customFormat="false" ht="33.75" hidden="false" customHeight="true" outlineLevel="0" collapsed="false">
      <c r="A18" s="28" t="s">
        <v>3281</v>
      </c>
      <c r="B18" s="30" t="s">
        <v>3282</v>
      </c>
      <c r="C18" s="27" t="s">
        <v>3283</v>
      </c>
      <c r="D18" s="27"/>
      <c r="E18" s="33"/>
    </row>
    <row r="19" customFormat="false" ht="33.75" hidden="false" customHeight="true" outlineLevel="0" collapsed="false">
      <c r="A19" s="28" t="s">
        <v>3284</v>
      </c>
      <c r="B19" s="30" t="s">
        <v>3285</v>
      </c>
      <c r="C19" s="27" t="s">
        <v>3286</v>
      </c>
      <c r="D19" s="27" t="s">
        <v>3287</v>
      </c>
      <c r="E19" s="33"/>
    </row>
  </sheetData>
  <dataValidations count="1">
    <dataValidation allowBlank="true" errorStyle="stop" operator="between" showDropDown="false" showErrorMessage="false" showInputMessage="false" sqref="E2:E19" type="list">
      <formula1>"□,완료,해당 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2026-10-30T01:08:47Z</dcterms:created>
  <dc:creator>openpyxl</dc:creator>
  <dc:description/>
  <dc:language>en-US</dc:language>
  <cp:lastModifiedBy/>
  <dcterms:modified xsi:type="dcterms:W3CDTF">2026-10-30T01:08:48Z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